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SSAPORTE" sheetId="2" state="visible" r:id="rId2"/>
    <sheet name="RESUMO" sheetId="3" state="visible" r:id="rId3"/>
    <sheet name="ATIVO_PAI" sheetId="4" state="visible" r:id="rId4"/>
    <sheet name="SUBATIVOS" sheetId="5" state="visible" r:id="rId5"/>
    <sheet name="PNEUS" sheetId="6" state="visible" r:id="rId6"/>
    <sheet name="OCORRENCIAS" sheetId="7" state="visible" r:id="rId7"/>
    <sheet name="INSPECOES" sheetId="8" state="visible" r:id="rId8"/>
    <sheet name="EVENTOS" sheetId="9" state="visible" r:id="rId9"/>
    <sheet name="LEGENDA" sheetId="10" state="visible" r:id="rId10"/>
  </sheets>
  <definedNames>
    <definedName name="_xlnm.Print_Titles" localSheetId="1">'PASSAPORTE'!$1:$4</definedName>
    <definedName name="_xlnm._FilterDatabase" localSheetId="3" hidden="1">'ATIVO_PAI'!$A$1:$H$200</definedName>
    <definedName name="_xlnm._FilterDatabase" localSheetId="4" hidden="1">'SUBATIVOS'!$A$1:$G$200</definedName>
    <definedName name="_xlnm._FilterDatabase" localSheetId="5" hidden="1">'PNEUS'!$A$1:$G$200</definedName>
    <definedName name="_xlnm._FilterDatabase" localSheetId="6" hidden="1">'OCORRENCIAS'!$A$1:$G$200</definedName>
    <definedName name="_xlnm._FilterDatabase" localSheetId="7" hidden="1">'INSPECOES'!$A$1:$H$200</definedName>
    <definedName name="_xlnm._FilterDatabase" localSheetId="8" hidden="1">'EVENTOS'!$A$1:$I$200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2"/>
    </font>
    <font>
      <name val="Calibri"/>
      <b val="1"/>
      <color rgb="00FFFFFF"/>
      <sz val="10"/>
    </font>
    <font>
      <name val="Calibri"/>
      <b val="1"/>
      <color rgb="001F3864"/>
      <sz val="26"/>
    </font>
    <font>
      <name val="Calibri"/>
      <b val="1"/>
      <color rgb="00FFFFFF"/>
      <sz val="12"/>
    </font>
    <font>
      <name val="Calibri"/>
      <b val="1"/>
      <color rgb="00FFFFFF"/>
      <sz val="11"/>
      <u val="single"/>
    </font>
    <font>
      <name val="Calibri"/>
      <sz val="10"/>
    </font>
    <font>
      <name val="Calibri"/>
      <sz val="11"/>
    </font>
    <font>
      <name val="Calibri"/>
      <b val="1"/>
      <color rgb="00FFFFFF"/>
      <sz val="16"/>
    </font>
    <font>
      <name val="Calibri"/>
      <b val="1"/>
      <sz val="11"/>
    </font>
    <font>
      <name val="Calibri"/>
      <b val="1"/>
      <color rgb="00FFFFFF"/>
      <sz val="11"/>
    </font>
    <font>
      <name val="Calibri"/>
      <i val="1"/>
      <color rgb="00FFFFFF"/>
      <sz val="10"/>
    </font>
    <font>
      <name val="Calibri"/>
      <b val="1"/>
      <color rgb="001F3864"/>
      <sz val="14"/>
    </font>
    <font>
      <name val="Calibri"/>
      <b val="1"/>
      <color rgb="00FFFFFF"/>
      <sz val="14"/>
    </font>
    <font>
      <name val="Calibri"/>
      <b val="1"/>
      <color rgb="001F3864"/>
      <sz val="11"/>
    </font>
    <font>
      <name val="Calibri"/>
      <i val="1"/>
      <color rgb="00808080"/>
      <sz val="10"/>
    </font>
    <font>
      <name val="Calibri"/>
      <i val="1"/>
      <color rgb="00595959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2F3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  <fill>
      <patternFill patternType="solid">
        <fgColor rgb="00595959"/>
      </patternFill>
    </fill>
    <fill>
      <patternFill patternType="solid">
        <fgColor rgb="00E4DFEC"/>
      </patternFill>
    </fill>
    <fill>
      <patternFill patternType="solid">
        <fgColor rgb="0070AD4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9" borderId="1" applyAlignment="1" pivotButton="0" quotePrefix="0" xfId="0">
      <alignment horizontal="left" vertical="center" indent="1"/>
    </xf>
    <xf numFmtId="0" fontId="5" fillId="1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center" vertical="center"/>
    </xf>
    <xf numFmtId="0" fontId="13" fillId="12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5" fillId="7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indent="1"/>
    </xf>
    <xf numFmtId="0" fontId="0" fillId="0" borderId="5" pivotButton="0" quotePrefix="0" xfId="0"/>
    <xf numFmtId="0" fontId="16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 indent="1"/>
    </xf>
    <xf numFmtId="0" fontId="10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5" fillId="1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ill>
        <patternFill patternType="solid">
          <fgColor rgb="00C00000"/>
        </patternFill>
      </fill>
    </dxf>
    <dxf>
      <fill>
        <patternFill patternType="solid">
          <fgColor rgb="00ED7D31"/>
        </patternFill>
      </fill>
    </dxf>
    <dxf>
      <fill>
        <patternFill patternType="solid">
          <fgColor rgb="0070AD47"/>
        </patternFill>
      </fill>
    </dxf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1F4E78"/>
        <sz val="11"/>
      </font>
      <fill>
        <patternFill patternType="solid">
          <fgColor rgb="00DDEBF7"/>
        </patternFill>
      </fill>
    </dxf>
    <dxf>
      <font>
        <name val="Calibri"/>
        <b val="1"/>
        <color rgb="009C6500"/>
        <sz val="11"/>
      </font>
      <fill>
        <patternFill patternType="solid">
          <fgColor rgb="00FFEB9C"/>
        </patternFill>
      </fill>
    </dxf>
    <dxf>
      <font>
        <name val="Calibri"/>
        <b val="1"/>
        <color rgb="009C0006"/>
        <sz val="11"/>
      </font>
      <fill>
        <patternFill patternType="solid">
          <fgColor rgb="00FFC7CE"/>
        </patternFill>
      </fill>
    </dxf>
    <dxf>
      <font>
        <name val="Calibri"/>
        <b val="1"/>
        <color rgb="00FFFFFF"/>
        <sz val="11"/>
      </font>
      <fill>
        <patternFill patternType="solid">
          <fgColor rgb="00C00000"/>
        </patternFill>
      </fill>
    </dxf>
    <dxf>
      <font>
        <name val="Calibri"/>
        <b val="1"/>
        <color rgb="00FFFFFF"/>
        <sz val="11"/>
      </font>
      <fill>
        <patternFill patternType="solid">
          <fgColor rgb="00ED7D31"/>
        </patternFill>
      </fill>
    </dxf>
    <dxf>
      <font>
        <name val="Calibri"/>
        <b val="1"/>
        <color rgb="00FFFFFF"/>
        <sz val="11"/>
      </font>
      <fill>
        <patternFill patternType="solid">
          <f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ASSAPORTE!A1" TargetMode="External" Id="rId1" /><Relationship Type="http://schemas.openxmlformats.org/officeDocument/2006/relationships/hyperlink" Target="#RESUMO!A1" TargetMode="External" Id="rId2" /><Relationship Type="http://schemas.openxmlformats.org/officeDocument/2006/relationships/hyperlink" Target="#LEGENDA!A1" TargetMode="External" Id="rId3" /><Relationship Type="http://schemas.openxmlformats.org/officeDocument/2006/relationships/hyperlink" Target="#INSPECOES!A1" TargetMode="External" Id="rId4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4" customWidth="1" min="4" max="4"/>
    <col width="18" customWidth="1" min="5" max="5"/>
    <col width="14" customWidth="1" min="6" max="6"/>
    <col width="18" customWidth="1" min="7" max="7"/>
    <col width="14" customWidth="1" min="8" max="8"/>
  </cols>
  <sheetData>
    <row r="1" ht="42" customHeight="1">
      <c r="A1" s="1" t="inlineStr">
        <is>
          <t>FORCE  ·  GESTÃO DE ATIVOS E OPERAÇÕES</t>
        </is>
      </c>
    </row>
    <row r="2" ht="24" customHeight="1">
      <c r="A2" s="2" t="inlineStr">
        <is>
          <t>Painel de Controle  ·  Passaporte Técnico do Ativo</t>
        </is>
      </c>
    </row>
    <row r="3" ht="12" customHeight="1"/>
    <row r="4" ht="22" customHeight="1">
      <c r="A4" s="3" t="inlineStr">
        <is>
          <t>TOTAL DE ATIVOS</t>
        </is>
      </c>
      <c r="C4" s="4" t="inlineStr">
        <is>
          <t>ATIVOS CRÍTICOS (C+D)</t>
        </is>
      </c>
      <c r="E4" s="5" t="inlineStr">
        <is>
          <t>ALERTAS ABERTOS</t>
        </is>
      </c>
      <c r="G4" s="6" t="inlineStr">
        <is>
          <t>INSPEÇÕES REGISTRADAS</t>
        </is>
      </c>
    </row>
    <row r="5" ht="42" customHeight="1">
      <c r="A5" s="7">
        <f>COUNTA(ATIVO_PAI!A2:A1000)</f>
        <v/>
      </c>
      <c r="C5" s="7">
        <f>COUNTIF(ATIVO_PAI!G2:G1000,"C")+COUNTIF(ATIVO_PAI!G2:G1000,"D")</f>
        <v/>
      </c>
      <c r="E5" s="7">
        <f>COUNTIF(OCORRENCIAS!F2:F1000,"Aberta")</f>
        <v/>
      </c>
      <c r="G5" s="7">
        <f>COUNTA(INSPECOES!A2:A1000)</f>
        <v/>
      </c>
    </row>
    <row r="6" ht="14" customHeight="1"/>
    <row r="7" ht="24" customHeight="1">
      <c r="A7" s="8" t="inlineStr">
        <is>
          <t>ATALHOS RÁPIDOS</t>
        </is>
      </c>
    </row>
    <row r="8" ht="32" customHeight="1">
      <c r="A8" s="9" t="inlineStr">
        <is>
          <t>🪪  Abrir Passaporte</t>
        </is>
      </c>
      <c r="C8" s="10" t="inlineStr">
        <is>
          <t>📊  Ver Resumo</t>
        </is>
      </c>
      <c r="E8" s="11" t="inlineStr">
        <is>
          <t>📚  Ver Legenda</t>
        </is>
      </c>
      <c r="G8" s="12" t="inlineStr">
        <is>
          <t>📅  Ver Inspeções</t>
        </is>
      </c>
    </row>
    <row r="9" ht="14" customHeight="1"/>
    <row r="10" ht="24" customHeight="1">
      <c r="A10" s="13" t="inlineStr">
        <is>
          <t>ÚLTIMAS INSPEÇÕES REGISTRADAS</t>
        </is>
      </c>
    </row>
    <row r="11" ht="20" customHeight="1">
      <c r="A11" s="14" t="inlineStr">
        <is>
          <t>Insp_ID</t>
        </is>
      </c>
      <c r="B11" s="14" t="inlineStr">
        <is>
          <t>Data</t>
        </is>
      </c>
      <c r="C11" s="14" t="inlineStr">
        <is>
          <t>Ativo</t>
        </is>
      </c>
      <c r="D11" s="14" t="inlineStr">
        <is>
          <t>Inspetor</t>
        </is>
      </c>
      <c r="E11" s="14" t="inlineStr">
        <is>
          <t>Antes</t>
        </is>
      </c>
      <c r="F11" s="14" t="inlineStr">
        <is>
          <t>Depois</t>
        </is>
      </c>
      <c r="G11" s="14" t="inlineStr">
        <is>
          <t>Km</t>
        </is>
      </c>
      <c r="H11" s="14" t="inlineStr">
        <is>
          <t>Resumo</t>
        </is>
      </c>
    </row>
    <row r="12" ht="18" customHeight="1">
      <c r="A12" s="15">
        <f>IFERROR(INSPECOES!A1,"")</f>
        <v/>
      </c>
      <c r="B12" s="15">
        <f>IFERROR(INSPECOES!C1,"")</f>
        <v/>
      </c>
      <c r="C12" s="15">
        <f>IFERROR(INSPECOES!B1,"")</f>
        <v/>
      </c>
      <c r="D12" s="15">
        <f>IFERROR(INSPECOES!D1,"")</f>
        <v/>
      </c>
      <c r="E12" s="15">
        <f>IFERROR(INSPECOES!E1,"")</f>
        <v/>
      </c>
      <c r="F12" s="15">
        <f>IFERROR(INSPECOES!F1,"")</f>
        <v/>
      </c>
      <c r="G12" s="15">
        <f>IFERROR(INSPECOES!G1,"")</f>
        <v/>
      </c>
      <c r="H12" s="15">
        <f>IFERROR(INSPECOES!H1,"")</f>
        <v/>
      </c>
    </row>
    <row r="13" ht="18" customHeight="1">
      <c r="A13" s="16">
        <f>IFERROR(INSPECOES!A2,"")</f>
        <v/>
      </c>
      <c r="B13" s="16">
        <f>IFERROR(INSPECOES!C2,"")</f>
        <v/>
      </c>
      <c r="C13" s="16">
        <f>IFERROR(INSPECOES!B2,"")</f>
        <v/>
      </c>
      <c r="D13" s="16">
        <f>IFERROR(INSPECOES!D2,"")</f>
        <v/>
      </c>
      <c r="E13" s="16">
        <f>IFERROR(INSPECOES!E2,"")</f>
        <v/>
      </c>
      <c r="F13" s="16">
        <f>IFERROR(INSPECOES!F2,"")</f>
        <v/>
      </c>
      <c r="G13" s="16">
        <f>IFERROR(INSPECOES!G2,"")</f>
        <v/>
      </c>
      <c r="H13" s="16">
        <f>IFERROR(INSPECOES!H2,"")</f>
        <v/>
      </c>
    </row>
    <row r="14" ht="18" customHeight="1">
      <c r="A14" s="15">
        <f>IFERROR(INSPECOES!A3,"")</f>
        <v/>
      </c>
      <c r="B14" s="15">
        <f>IFERROR(INSPECOES!C3,"")</f>
        <v/>
      </c>
      <c r="C14" s="15">
        <f>IFERROR(INSPECOES!B3,"")</f>
        <v/>
      </c>
      <c r="D14" s="15">
        <f>IFERROR(INSPECOES!D3,"")</f>
        <v/>
      </c>
      <c r="E14" s="15">
        <f>IFERROR(INSPECOES!E3,"")</f>
        <v/>
      </c>
      <c r="F14" s="15">
        <f>IFERROR(INSPECOES!F3,"")</f>
        <v/>
      </c>
      <c r="G14" s="15">
        <f>IFERROR(INSPECOES!G3,"")</f>
        <v/>
      </c>
      <c r="H14" s="15">
        <f>IFERROR(INSPECOES!H3,"")</f>
        <v/>
      </c>
    </row>
    <row r="15" ht="18" customHeight="1">
      <c r="A15" s="16">
        <f>IFERROR(INSPECOES!A4,"")</f>
        <v/>
      </c>
      <c r="B15" s="16">
        <f>IFERROR(INSPECOES!C4,"")</f>
        <v/>
      </c>
      <c r="C15" s="16">
        <f>IFERROR(INSPECOES!B4,"")</f>
        <v/>
      </c>
      <c r="D15" s="16">
        <f>IFERROR(INSPECOES!D4,"")</f>
        <v/>
      </c>
      <c r="E15" s="16">
        <f>IFERROR(INSPECOES!E4,"")</f>
        <v/>
      </c>
      <c r="F15" s="16">
        <f>IFERROR(INSPECOES!F4,"")</f>
        <v/>
      </c>
      <c r="G15" s="16">
        <f>IFERROR(INSPECOES!G4,"")</f>
        <v/>
      </c>
      <c r="H15" s="16">
        <f>IFERROR(INSPECOES!H4,"")</f>
        <v/>
      </c>
    </row>
    <row r="16" ht="18" customHeight="1">
      <c r="A16" s="15">
        <f>IFERROR(INSPECOES!A5,"")</f>
        <v/>
      </c>
      <c r="B16" s="15">
        <f>IFERROR(INSPECOES!C5,"")</f>
        <v/>
      </c>
      <c r="C16" s="15">
        <f>IFERROR(INSPECOES!B5,"")</f>
        <v/>
      </c>
      <c r="D16" s="15">
        <f>IFERROR(INSPECOES!D5,"")</f>
        <v/>
      </c>
      <c r="E16" s="15">
        <f>IFERROR(INSPECOES!E5,"")</f>
        <v/>
      </c>
      <c r="F16" s="15">
        <f>IFERROR(INSPECOES!F5,"")</f>
        <v/>
      </c>
      <c r="G16" s="15">
        <f>IFERROR(INSPECOES!G5,"")</f>
        <v/>
      </c>
      <c r="H16" s="15">
        <f>IFERROR(INSPECOES!H5,"")</f>
        <v/>
      </c>
    </row>
    <row r="17" ht="14" customHeight="1"/>
    <row r="18" ht="24" customHeight="1">
      <c r="A18" s="17" t="inlineStr">
        <is>
          <t>COMO USAR ESTA PLANILHA</t>
        </is>
      </c>
    </row>
    <row r="19" ht="20" customHeight="1">
      <c r="A19" s="18" t="inlineStr">
        <is>
          <t>1.  Selecione um ativo no dropdown do PASSAPORTE para ver a ficha completa.</t>
        </is>
      </c>
    </row>
    <row r="20" ht="20" customHeight="1">
      <c r="A20" s="18" t="inlineStr">
        <is>
          <t>2.  Quando o Kaká faz uma inspeção, registre em INSPECOES e atualize ATIVO_PAI.</t>
        </is>
      </c>
    </row>
    <row r="21" ht="20" customHeight="1">
      <c r="A21" s="18" t="inlineStr">
        <is>
          <t>3.  Toda mudança relevante (subativo, pneu, ocorrência) gera linha em EVENTOS.</t>
        </is>
      </c>
    </row>
    <row r="22" ht="20" customHeight="1">
      <c r="A22" s="18" t="inlineStr">
        <is>
          <t>4.  O RESUMO mostra a situação geral e as pendências. Use a aba ALERTAS.</t>
        </is>
      </c>
    </row>
    <row r="23" ht="20" customHeight="1">
      <c r="A23" s="18" t="inlineStr">
        <is>
          <t>5.  Classificações, status e tipos estão explicados na aba LEGENDA.</t>
        </is>
      </c>
    </row>
    <row r="24" ht="20" customHeight="1">
      <c r="A24" s="18" t="inlineStr">
        <is>
          <t>6.  Nunca apague linhas de INSPECOES e EVENTOS. Histórico é sempre adicionado.</t>
        </is>
      </c>
    </row>
  </sheetData>
  <mergeCells count="23">
    <mergeCell ref="A24:H24"/>
    <mergeCell ref="C5:D5"/>
    <mergeCell ref="E5:F5"/>
    <mergeCell ref="A1:H1"/>
    <mergeCell ref="G8:H8"/>
    <mergeCell ref="E8:F8"/>
    <mergeCell ref="C4:D4"/>
    <mergeCell ref="E4:F4"/>
    <mergeCell ref="A7:H7"/>
    <mergeCell ref="A18:H18"/>
    <mergeCell ref="A21:H21"/>
    <mergeCell ref="A2:H2"/>
    <mergeCell ref="A5:B5"/>
    <mergeCell ref="G5:H5"/>
    <mergeCell ref="A23:H23"/>
    <mergeCell ref="A8:B8"/>
    <mergeCell ref="C8:D8"/>
    <mergeCell ref="A22:H22"/>
    <mergeCell ref="A4:B4"/>
    <mergeCell ref="G4:H4"/>
    <mergeCell ref="A20:H20"/>
    <mergeCell ref="A10:H10"/>
    <mergeCell ref="A19:H19"/>
  </mergeCells>
  <hyperlinks>
    <hyperlink xmlns:r="http://schemas.openxmlformats.org/officeDocument/2006/relationships" ref="A8" r:id="rId1"/>
    <hyperlink xmlns:r="http://schemas.openxmlformats.org/officeDocument/2006/relationships" ref="C8" r:id="rId2"/>
    <hyperlink xmlns:r="http://schemas.openxmlformats.org/officeDocument/2006/relationships" ref="E8" r:id="rId3"/>
    <hyperlink xmlns:r="http://schemas.openxmlformats.org/officeDocument/2006/relationships" ref="G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24" customWidth="1" min="5" max="5"/>
    <col width="16" customWidth="1" min="6" max="6"/>
  </cols>
  <sheetData>
    <row r="1" ht="38" customHeight="1">
      <c r="A1" s="1" t="inlineStr">
        <is>
          <t>PASSAPORTE TÉCNICO DO ATIVO</t>
        </is>
      </c>
    </row>
    <row r="2" ht="20" customHeight="1">
      <c r="A2" s="19" t="inlineStr">
        <is>
          <t>FORCE   ·   Gestão de Ativos e Operações   ·   Documento de Controle Patrimonial</t>
        </is>
      </c>
    </row>
    <row r="3" ht="6" customHeight="1"/>
    <row r="4" ht="32" customHeight="1">
      <c r="A4" s="3" t="inlineStr">
        <is>
          <t>SELECIONE O ATIVO</t>
        </is>
      </c>
      <c r="B4" s="20" t="inlineStr">
        <is>
          <t>ATV-001</t>
        </is>
      </c>
      <c r="D4" s="3" t="inlineStr">
        <is>
          <t>STATUS GERAL</t>
        </is>
      </c>
      <c r="E4" s="21">
        <f>IF(OR(VLOOKUP($B$4,ATIVO_PAI!A:H,7,0)="D",COUNTIFS(SUBATIVOS!B:B,$B$4,SUBATIVOS!D:D,"Inoperante")&gt;0,COUNTIFS(PNEUS!B:B,$B$4,PNEUS!G:G,"Condenado")&gt;0),"Crítico",IF(OR(VLOOKUP($B$4,ATIVO_PAI!A:H,7,0)="C",COUNTIFS(OCORRENCIAS!B:B,$B$4,OCORRENCIAS!F:F,"Aberta")&gt;0,COUNTIFS(SUBATIVOS!B:B,$B$4,SUBATIVOS!D:D,"Degradado")&gt;0),"Atenção","OK"))</f>
        <v/>
      </c>
    </row>
    <row r="5" ht="8" customHeight="1"/>
    <row r="6" ht="26" customHeight="1">
      <c r="A6" s="22" t="inlineStr">
        <is>
          <t xml:space="preserve">  1.   IDENTIFICAÇÃO DO ATIVO</t>
        </is>
      </c>
    </row>
    <row r="7" ht="22" customHeight="1">
      <c r="A7" s="23" t="inlineStr">
        <is>
          <t>Asset ID</t>
        </is>
      </c>
      <c r="B7" s="18">
        <f>IFERROR(VLOOKUP($B$4,ATIVO_PAI!A:H,1,0),"")</f>
        <v/>
      </c>
      <c r="C7" s="24" t="n"/>
      <c r="D7" s="24" t="n"/>
      <c r="E7" s="24" t="n"/>
      <c r="F7" s="24" t="n"/>
    </row>
    <row r="8" ht="22" customHeight="1">
      <c r="A8" s="23" t="inlineStr">
        <is>
          <t>Placa</t>
        </is>
      </c>
      <c r="B8" s="18">
        <f>IFERROR(VLOOKUP($B$4,ATIVO_PAI!A:H,2,0),"")</f>
        <v/>
      </c>
      <c r="C8" s="24" t="n"/>
      <c r="D8" s="24" t="n"/>
      <c r="E8" s="24" t="n"/>
      <c r="F8" s="24" t="n"/>
    </row>
    <row r="9" ht="22" customHeight="1">
      <c r="A9" s="23" t="inlineStr">
        <is>
          <t>Tipo</t>
        </is>
      </c>
      <c r="B9" s="18">
        <f>IFERROR(VLOOKUP($B$4,ATIVO_PAI!A:H,3,0),"")</f>
        <v/>
      </c>
      <c r="C9" s="24" t="n"/>
      <c r="D9" s="24" t="n"/>
      <c r="E9" s="24" t="n"/>
      <c r="F9" s="24" t="n"/>
    </row>
    <row r="10" ht="22" customHeight="1">
      <c r="A10" s="23" t="inlineStr">
        <is>
          <t>Próprio/Locado</t>
        </is>
      </c>
      <c r="B10" s="18">
        <f>IFERROR(VLOOKUP($B$4,ATIVO_PAI!A:H,4,0),"")</f>
        <v/>
      </c>
      <c r="C10" s="24" t="n"/>
      <c r="D10" s="24" t="n"/>
      <c r="E10" s="24" t="n"/>
      <c r="F10" s="24" t="n"/>
    </row>
    <row r="11" ht="22" customHeight="1">
      <c r="A11" s="23" t="inlineStr">
        <is>
          <t>Locador</t>
        </is>
      </c>
      <c r="B11" s="18">
        <f>IFERROR(VLOOKUP($B$4,ATIVO_PAI!A:H,5,0),"")</f>
        <v/>
      </c>
      <c r="C11" s="24" t="n"/>
      <c r="D11" s="24" t="n"/>
      <c r="E11" s="24" t="n"/>
      <c r="F11" s="24" t="n"/>
    </row>
    <row r="12" ht="22" customHeight="1">
      <c r="A12" s="23" t="inlineStr">
        <is>
          <t>Km/Horímetro</t>
        </is>
      </c>
      <c r="B12" s="18">
        <f>IFERROR(VLOOKUP($B$4,ATIVO_PAI!A:H,6,0),"")</f>
        <v/>
      </c>
      <c r="C12" s="24" t="n"/>
      <c r="D12" s="24" t="n"/>
      <c r="E12" s="24" t="n"/>
      <c r="F12" s="24" t="n"/>
    </row>
    <row r="13" ht="22" customHeight="1">
      <c r="A13" s="23" t="inlineStr">
        <is>
          <t>Classificação</t>
        </is>
      </c>
      <c r="B13" s="18">
        <f>IFERROR(VLOOKUP($B$4,ATIVO_PAI!A:H,7,0),"")</f>
        <v/>
      </c>
      <c r="C13" s="24" t="n"/>
      <c r="D13" s="24" t="n"/>
      <c r="E13" s="24" t="n"/>
      <c r="F13" s="24" t="n"/>
    </row>
    <row r="14" ht="22" customHeight="1">
      <c r="A14" s="23" t="inlineStr">
        <is>
          <t>Data da inspeção</t>
        </is>
      </c>
      <c r="B14" s="18">
        <f>IFERROR(VLOOKUP($B$4,ATIVO_PAI!A:H,8,0),"")</f>
        <v/>
      </c>
      <c r="C14" s="24" t="n"/>
      <c r="D14" s="24" t="n"/>
      <c r="E14" s="24" t="n"/>
      <c r="F14" s="24" t="n"/>
    </row>
    <row r="15" ht="8" customHeight="1"/>
    <row r="16" ht="26" customHeight="1">
      <c r="A16" s="25" t="inlineStr">
        <is>
          <t xml:space="preserve">  2.   HISTÓRICO DE INSPEÇÕES (5 mais recentes)</t>
        </is>
      </c>
    </row>
    <row r="17" ht="22" customHeight="1">
      <c r="A17" s="26" t="inlineStr">
        <is>
          <t>Insp_ID</t>
        </is>
      </c>
      <c r="B17" s="26" t="inlineStr">
        <is>
          <t>Data</t>
        </is>
      </c>
      <c r="C17" s="26" t="inlineStr">
        <is>
          <t>Inspetor</t>
        </is>
      </c>
      <c r="D17" s="26" t="inlineStr">
        <is>
          <t>Class_Antes</t>
        </is>
      </c>
      <c r="E17" s="26" t="inlineStr">
        <is>
          <t>Class_Depois</t>
        </is>
      </c>
      <c r="F17" s="26" t="inlineStr">
        <is>
          <t>Km</t>
        </is>
      </c>
    </row>
    <row r="18" ht="18" customHeight="1">
      <c r="A18" s="15">
        <f>IFERROR(INDEX(INSPECOES!A:A,MATCH(1,INSPECOES!$I:$I,0)),"")</f>
        <v/>
      </c>
      <c r="B18" s="15">
        <f>IFERROR(INDEX(INSPECOES!C:C,MATCH(1,INSPECOES!$I:$I,0)),"")</f>
        <v/>
      </c>
      <c r="C18" s="15">
        <f>IFERROR(INDEX(INSPECOES!D:D,MATCH(1,INSPECOES!$I:$I,0)),"")</f>
        <v/>
      </c>
      <c r="D18" s="15">
        <f>IFERROR(INDEX(INSPECOES!E:E,MATCH(1,INSPECOES!$I:$I,0)),"")</f>
        <v/>
      </c>
      <c r="E18" s="15">
        <f>IFERROR(INDEX(INSPECOES!F:F,MATCH(1,INSPECOES!$I:$I,0)),"")</f>
        <v/>
      </c>
      <c r="F18" s="15">
        <f>IFERROR(INDEX(INSPECOES!G:G,MATCH(1,INSPECOES!$I:$I,0)),"")</f>
        <v/>
      </c>
    </row>
    <row r="19" ht="18" customHeight="1">
      <c r="A19" s="16">
        <f>IFERROR(INDEX(INSPECOES!A:A,MATCH(2,INSPECOES!$I:$I,0)),"")</f>
        <v/>
      </c>
      <c r="B19" s="16">
        <f>IFERROR(INDEX(INSPECOES!C:C,MATCH(2,INSPECOES!$I:$I,0)),"")</f>
        <v/>
      </c>
      <c r="C19" s="16">
        <f>IFERROR(INDEX(INSPECOES!D:D,MATCH(2,INSPECOES!$I:$I,0)),"")</f>
        <v/>
      </c>
      <c r="D19" s="16">
        <f>IFERROR(INDEX(INSPECOES!E:E,MATCH(2,INSPECOES!$I:$I,0)),"")</f>
        <v/>
      </c>
      <c r="E19" s="16">
        <f>IFERROR(INDEX(INSPECOES!F:F,MATCH(2,INSPECOES!$I:$I,0)),"")</f>
        <v/>
      </c>
      <c r="F19" s="16">
        <f>IFERROR(INDEX(INSPECOES!G:G,MATCH(2,INSPECOES!$I:$I,0)),"")</f>
        <v/>
      </c>
    </row>
    <row r="20" ht="18" customHeight="1">
      <c r="A20" s="15">
        <f>IFERROR(INDEX(INSPECOES!A:A,MATCH(3,INSPECOES!$I:$I,0)),"")</f>
        <v/>
      </c>
      <c r="B20" s="15">
        <f>IFERROR(INDEX(INSPECOES!C:C,MATCH(3,INSPECOES!$I:$I,0)),"")</f>
        <v/>
      </c>
      <c r="C20" s="15">
        <f>IFERROR(INDEX(INSPECOES!D:D,MATCH(3,INSPECOES!$I:$I,0)),"")</f>
        <v/>
      </c>
      <c r="D20" s="15">
        <f>IFERROR(INDEX(INSPECOES!E:E,MATCH(3,INSPECOES!$I:$I,0)),"")</f>
        <v/>
      </c>
      <c r="E20" s="15">
        <f>IFERROR(INDEX(INSPECOES!F:F,MATCH(3,INSPECOES!$I:$I,0)),"")</f>
        <v/>
      </c>
      <c r="F20" s="15">
        <f>IFERROR(INDEX(INSPECOES!G:G,MATCH(3,INSPECOES!$I:$I,0)),"")</f>
        <v/>
      </c>
    </row>
    <row r="21" ht="18" customHeight="1">
      <c r="A21" s="16">
        <f>IFERROR(INDEX(INSPECOES!A:A,MATCH(4,INSPECOES!$I:$I,0)),"")</f>
        <v/>
      </c>
      <c r="B21" s="16">
        <f>IFERROR(INDEX(INSPECOES!C:C,MATCH(4,INSPECOES!$I:$I,0)),"")</f>
        <v/>
      </c>
      <c r="C21" s="16">
        <f>IFERROR(INDEX(INSPECOES!D:D,MATCH(4,INSPECOES!$I:$I,0)),"")</f>
        <v/>
      </c>
      <c r="D21" s="16">
        <f>IFERROR(INDEX(INSPECOES!E:E,MATCH(4,INSPECOES!$I:$I,0)),"")</f>
        <v/>
      </c>
      <c r="E21" s="16">
        <f>IFERROR(INDEX(INSPECOES!F:F,MATCH(4,INSPECOES!$I:$I,0)),"")</f>
        <v/>
      </c>
      <c r="F21" s="16">
        <f>IFERROR(INDEX(INSPECOES!G:G,MATCH(4,INSPECOES!$I:$I,0)),"")</f>
        <v/>
      </c>
    </row>
    <row r="22" ht="18" customHeight="1">
      <c r="A22" s="15">
        <f>IFERROR(INDEX(INSPECOES!A:A,MATCH(5,INSPECOES!$I:$I,0)),"")</f>
        <v/>
      </c>
      <c r="B22" s="15">
        <f>IFERROR(INDEX(INSPECOES!C:C,MATCH(5,INSPECOES!$I:$I,0)),"")</f>
        <v/>
      </c>
      <c r="C22" s="15">
        <f>IFERROR(INDEX(INSPECOES!D:D,MATCH(5,INSPECOES!$I:$I,0)),"")</f>
        <v/>
      </c>
      <c r="D22" s="15">
        <f>IFERROR(INDEX(INSPECOES!E:E,MATCH(5,INSPECOES!$I:$I,0)),"")</f>
        <v/>
      </c>
      <c r="E22" s="15">
        <f>IFERROR(INDEX(INSPECOES!F:F,MATCH(5,INSPECOES!$I:$I,0)),"")</f>
        <v/>
      </c>
      <c r="F22" s="15">
        <f>IFERROR(INDEX(INSPECOES!G:G,MATCH(5,INSPECOES!$I:$I,0)),"")</f>
        <v/>
      </c>
    </row>
    <row r="23" ht="8" customHeight="1"/>
    <row r="24" ht="26" customHeight="1">
      <c r="A24" s="25" t="inlineStr">
        <is>
          <t xml:space="preserve">  3.   ÚLTIMOS EVENTOS (5 mais recentes)</t>
        </is>
      </c>
    </row>
    <row r="25" ht="22" customHeight="1">
      <c r="A25" s="26" t="inlineStr">
        <is>
          <t>Evento_ID</t>
        </is>
      </c>
      <c r="B25" s="26" t="inlineStr">
        <is>
          <t>Data</t>
        </is>
      </c>
      <c r="C25" s="26" t="inlineStr">
        <is>
          <t>Tipo</t>
        </is>
      </c>
      <c r="D25" s="26" t="inlineStr">
        <is>
          <t>Descrição</t>
        </is>
      </c>
      <c r="E25" s="26" t="inlineStr">
        <is>
          <t>Antes</t>
        </is>
      </c>
      <c r="F25" s="26" t="inlineStr">
        <is>
          <t>Depois</t>
        </is>
      </c>
    </row>
    <row r="26" ht="18" customHeight="1">
      <c r="A26" s="15">
        <f>IFERROR(INDEX(EVENTOS!A:A,MATCH(1,EVENTOS!$J:$J,0)),"")</f>
        <v/>
      </c>
      <c r="B26" s="15">
        <f>IFERROR(INDEX(EVENTOS!B:B,MATCH(1,EVENTOS!$J:$J,0)),"")</f>
        <v/>
      </c>
      <c r="C26" s="15">
        <f>IFERROR(INDEX(EVENTOS!D:D,MATCH(1,EVENTOS!$J:$J,0)),"")</f>
        <v/>
      </c>
      <c r="D26" s="15">
        <f>IFERROR(INDEX(EVENTOS!F:F,MATCH(1,EVENTOS!$J:$J,0)),"")</f>
        <v/>
      </c>
      <c r="E26" s="15">
        <f>IFERROR(INDEX(EVENTOS!G:G,MATCH(1,EVENTOS!$J:$J,0)),"")</f>
        <v/>
      </c>
      <c r="F26" s="15">
        <f>IFERROR(INDEX(EVENTOS!H:H,MATCH(1,EVENTOS!$J:$J,0)),"")</f>
        <v/>
      </c>
    </row>
    <row r="27" ht="18" customHeight="1">
      <c r="A27" s="16">
        <f>IFERROR(INDEX(EVENTOS!A:A,MATCH(2,EVENTOS!$J:$J,0)),"")</f>
        <v/>
      </c>
      <c r="B27" s="16">
        <f>IFERROR(INDEX(EVENTOS!B:B,MATCH(2,EVENTOS!$J:$J,0)),"")</f>
        <v/>
      </c>
      <c r="C27" s="16">
        <f>IFERROR(INDEX(EVENTOS!D:D,MATCH(2,EVENTOS!$J:$J,0)),"")</f>
        <v/>
      </c>
      <c r="D27" s="16">
        <f>IFERROR(INDEX(EVENTOS!F:F,MATCH(2,EVENTOS!$J:$J,0)),"")</f>
        <v/>
      </c>
      <c r="E27" s="16">
        <f>IFERROR(INDEX(EVENTOS!G:G,MATCH(2,EVENTOS!$J:$J,0)),"")</f>
        <v/>
      </c>
      <c r="F27" s="16">
        <f>IFERROR(INDEX(EVENTOS!H:H,MATCH(2,EVENTOS!$J:$J,0)),"")</f>
        <v/>
      </c>
    </row>
    <row r="28" ht="18" customHeight="1">
      <c r="A28" s="15">
        <f>IFERROR(INDEX(EVENTOS!A:A,MATCH(3,EVENTOS!$J:$J,0)),"")</f>
        <v/>
      </c>
      <c r="B28" s="15">
        <f>IFERROR(INDEX(EVENTOS!B:B,MATCH(3,EVENTOS!$J:$J,0)),"")</f>
        <v/>
      </c>
      <c r="C28" s="15">
        <f>IFERROR(INDEX(EVENTOS!D:D,MATCH(3,EVENTOS!$J:$J,0)),"")</f>
        <v/>
      </c>
      <c r="D28" s="15">
        <f>IFERROR(INDEX(EVENTOS!F:F,MATCH(3,EVENTOS!$J:$J,0)),"")</f>
        <v/>
      </c>
      <c r="E28" s="15">
        <f>IFERROR(INDEX(EVENTOS!G:G,MATCH(3,EVENTOS!$J:$J,0)),"")</f>
        <v/>
      </c>
      <c r="F28" s="15">
        <f>IFERROR(INDEX(EVENTOS!H:H,MATCH(3,EVENTOS!$J:$J,0)),"")</f>
        <v/>
      </c>
    </row>
    <row r="29" ht="18" customHeight="1">
      <c r="A29" s="16">
        <f>IFERROR(INDEX(EVENTOS!A:A,MATCH(4,EVENTOS!$J:$J,0)),"")</f>
        <v/>
      </c>
      <c r="B29" s="16">
        <f>IFERROR(INDEX(EVENTOS!B:B,MATCH(4,EVENTOS!$J:$J,0)),"")</f>
        <v/>
      </c>
      <c r="C29" s="16">
        <f>IFERROR(INDEX(EVENTOS!D:D,MATCH(4,EVENTOS!$J:$J,0)),"")</f>
        <v/>
      </c>
      <c r="D29" s="16">
        <f>IFERROR(INDEX(EVENTOS!F:F,MATCH(4,EVENTOS!$J:$J,0)),"")</f>
        <v/>
      </c>
      <c r="E29" s="16">
        <f>IFERROR(INDEX(EVENTOS!G:G,MATCH(4,EVENTOS!$J:$J,0)),"")</f>
        <v/>
      </c>
      <c r="F29" s="16">
        <f>IFERROR(INDEX(EVENTOS!H:H,MATCH(4,EVENTOS!$J:$J,0)),"")</f>
        <v/>
      </c>
    </row>
    <row r="30" ht="18" customHeight="1">
      <c r="A30" s="15">
        <f>IFERROR(INDEX(EVENTOS!A:A,MATCH(5,EVENTOS!$J:$J,0)),"")</f>
        <v/>
      </c>
      <c r="B30" s="15">
        <f>IFERROR(INDEX(EVENTOS!B:B,MATCH(5,EVENTOS!$J:$J,0)),"")</f>
        <v/>
      </c>
      <c r="C30" s="15">
        <f>IFERROR(INDEX(EVENTOS!D:D,MATCH(5,EVENTOS!$J:$J,0)),"")</f>
        <v/>
      </c>
      <c r="D30" s="15">
        <f>IFERROR(INDEX(EVENTOS!F:F,MATCH(5,EVENTOS!$J:$J,0)),"")</f>
        <v/>
      </c>
      <c r="E30" s="15">
        <f>IFERROR(INDEX(EVENTOS!G:G,MATCH(5,EVENTOS!$J:$J,0)),"")</f>
        <v/>
      </c>
      <c r="F30" s="15">
        <f>IFERROR(INDEX(EVENTOS!H:H,MATCH(5,EVENTOS!$J:$J,0)),"")</f>
        <v/>
      </c>
    </row>
    <row r="31" ht="8" customHeight="1"/>
    <row r="32" ht="26" customHeight="1">
      <c r="A32" s="22" t="inlineStr">
        <is>
          <t xml:space="preserve">  4.   SUBATIVOS</t>
        </is>
      </c>
    </row>
    <row r="33" ht="22" customHeight="1">
      <c r="A33" s="26" t="inlineStr">
        <is>
          <t>Sub_ID</t>
        </is>
      </c>
      <c r="B33" s="26" t="inlineStr">
        <is>
          <t>Nome</t>
        </is>
      </c>
      <c r="C33" s="26" t="inlineStr">
        <is>
          <t>Estado</t>
        </is>
      </c>
      <c r="D33" s="26" t="inlineStr">
        <is>
          <t>Classificação</t>
        </is>
      </c>
      <c r="E33" s="26" t="inlineStr">
        <is>
          <t>Ação</t>
        </is>
      </c>
      <c r="F33" s="26" t="inlineStr">
        <is>
          <t>Prioridade</t>
        </is>
      </c>
    </row>
    <row r="34" ht="18" customHeight="1">
      <c r="A34" s="15">
        <f>IFERROR(INDEX(SUBATIVOS!A:A,MATCH(1,SUBATIVOS!$H:$H,0)),"")</f>
        <v/>
      </c>
      <c r="B34" s="15">
        <f>IFERROR(INDEX(SUBATIVOS!C:C,MATCH(1,SUBATIVOS!$H:$H,0)),"")</f>
        <v/>
      </c>
      <c r="C34" s="15">
        <f>IFERROR(INDEX(SUBATIVOS!D:D,MATCH(1,SUBATIVOS!$H:$H,0)),"")</f>
        <v/>
      </c>
      <c r="D34" s="15">
        <f>IFERROR(INDEX(SUBATIVOS!E:E,MATCH(1,SUBATIVOS!$H:$H,0)),"")</f>
        <v/>
      </c>
      <c r="E34" s="15">
        <f>IFERROR(INDEX(SUBATIVOS!F:F,MATCH(1,SUBATIVOS!$H:$H,0)),"")</f>
        <v/>
      </c>
      <c r="F34" s="15">
        <f>IFERROR(INDEX(SUBATIVOS!G:G,MATCH(1,SUBATIVOS!$H:$H,0)),"")</f>
        <v/>
      </c>
    </row>
    <row r="35" ht="18" customHeight="1">
      <c r="A35" s="27">
        <f>IFERROR(INDEX(SUBATIVOS!A:A,MATCH(2,SUBATIVOS!$H:$H,0)),"")</f>
        <v/>
      </c>
      <c r="B35" s="27">
        <f>IFERROR(INDEX(SUBATIVOS!C:C,MATCH(2,SUBATIVOS!$H:$H,0)),"")</f>
        <v/>
      </c>
      <c r="C35" s="27">
        <f>IFERROR(INDEX(SUBATIVOS!D:D,MATCH(2,SUBATIVOS!$H:$H,0)),"")</f>
        <v/>
      </c>
      <c r="D35" s="27">
        <f>IFERROR(INDEX(SUBATIVOS!E:E,MATCH(2,SUBATIVOS!$H:$H,0)),"")</f>
        <v/>
      </c>
      <c r="E35" s="27">
        <f>IFERROR(INDEX(SUBATIVOS!F:F,MATCH(2,SUBATIVOS!$H:$H,0)),"")</f>
        <v/>
      </c>
      <c r="F35" s="27">
        <f>IFERROR(INDEX(SUBATIVOS!G:G,MATCH(2,SUBATIVOS!$H:$H,0)),"")</f>
        <v/>
      </c>
    </row>
    <row r="36" ht="18" customHeight="1">
      <c r="A36" s="15">
        <f>IFERROR(INDEX(SUBATIVOS!A:A,MATCH(3,SUBATIVOS!$H:$H,0)),"")</f>
        <v/>
      </c>
      <c r="B36" s="15">
        <f>IFERROR(INDEX(SUBATIVOS!C:C,MATCH(3,SUBATIVOS!$H:$H,0)),"")</f>
        <v/>
      </c>
      <c r="C36" s="15">
        <f>IFERROR(INDEX(SUBATIVOS!D:D,MATCH(3,SUBATIVOS!$H:$H,0)),"")</f>
        <v/>
      </c>
      <c r="D36" s="15">
        <f>IFERROR(INDEX(SUBATIVOS!E:E,MATCH(3,SUBATIVOS!$H:$H,0)),"")</f>
        <v/>
      </c>
      <c r="E36" s="15">
        <f>IFERROR(INDEX(SUBATIVOS!F:F,MATCH(3,SUBATIVOS!$H:$H,0)),"")</f>
        <v/>
      </c>
      <c r="F36" s="15">
        <f>IFERROR(INDEX(SUBATIVOS!G:G,MATCH(3,SUBATIVOS!$H:$H,0)),"")</f>
        <v/>
      </c>
    </row>
    <row r="37" ht="18" customHeight="1">
      <c r="A37" s="27">
        <f>IFERROR(INDEX(SUBATIVOS!A:A,MATCH(4,SUBATIVOS!$H:$H,0)),"")</f>
        <v/>
      </c>
      <c r="B37" s="27">
        <f>IFERROR(INDEX(SUBATIVOS!C:C,MATCH(4,SUBATIVOS!$H:$H,0)),"")</f>
        <v/>
      </c>
      <c r="C37" s="27">
        <f>IFERROR(INDEX(SUBATIVOS!D:D,MATCH(4,SUBATIVOS!$H:$H,0)),"")</f>
        <v/>
      </c>
      <c r="D37" s="27">
        <f>IFERROR(INDEX(SUBATIVOS!E:E,MATCH(4,SUBATIVOS!$H:$H,0)),"")</f>
        <v/>
      </c>
      <c r="E37" s="27">
        <f>IFERROR(INDEX(SUBATIVOS!F:F,MATCH(4,SUBATIVOS!$H:$H,0)),"")</f>
        <v/>
      </c>
      <c r="F37" s="27">
        <f>IFERROR(INDEX(SUBATIVOS!G:G,MATCH(4,SUBATIVOS!$H:$H,0)),"")</f>
        <v/>
      </c>
    </row>
    <row r="38" ht="18" customHeight="1">
      <c r="A38" s="15">
        <f>IFERROR(INDEX(SUBATIVOS!A:A,MATCH(5,SUBATIVOS!$H:$H,0)),"")</f>
        <v/>
      </c>
      <c r="B38" s="15">
        <f>IFERROR(INDEX(SUBATIVOS!C:C,MATCH(5,SUBATIVOS!$H:$H,0)),"")</f>
        <v/>
      </c>
      <c r="C38" s="15">
        <f>IFERROR(INDEX(SUBATIVOS!D:D,MATCH(5,SUBATIVOS!$H:$H,0)),"")</f>
        <v/>
      </c>
      <c r="D38" s="15">
        <f>IFERROR(INDEX(SUBATIVOS!E:E,MATCH(5,SUBATIVOS!$H:$H,0)),"")</f>
        <v/>
      </c>
      <c r="E38" s="15">
        <f>IFERROR(INDEX(SUBATIVOS!F:F,MATCH(5,SUBATIVOS!$H:$H,0)),"")</f>
        <v/>
      </c>
      <c r="F38" s="15">
        <f>IFERROR(INDEX(SUBATIVOS!G:G,MATCH(5,SUBATIVOS!$H:$H,0)),"")</f>
        <v/>
      </c>
    </row>
    <row r="39" ht="18" customHeight="1">
      <c r="A39" s="27">
        <f>IFERROR(INDEX(SUBATIVOS!A:A,MATCH(6,SUBATIVOS!$H:$H,0)),"")</f>
        <v/>
      </c>
      <c r="B39" s="27">
        <f>IFERROR(INDEX(SUBATIVOS!C:C,MATCH(6,SUBATIVOS!$H:$H,0)),"")</f>
        <v/>
      </c>
      <c r="C39" s="27">
        <f>IFERROR(INDEX(SUBATIVOS!D:D,MATCH(6,SUBATIVOS!$H:$H,0)),"")</f>
        <v/>
      </c>
      <c r="D39" s="27">
        <f>IFERROR(INDEX(SUBATIVOS!E:E,MATCH(6,SUBATIVOS!$H:$H,0)),"")</f>
        <v/>
      </c>
      <c r="E39" s="27">
        <f>IFERROR(INDEX(SUBATIVOS!F:F,MATCH(6,SUBATIVOS!$H:$H,0)),"")</f>
        <v/>
      </c>
      <c r="F39" s="27">
        <f>IFERROR(INDEX(SUBATIVOS!G:G,MATCH(6,SUBATIVOS!$H:$H,0)),"")</f>
        <v/>
      </c>
    </row>
    <row r="40" ht="18" customHeight="1">
      <c r="A40" s="15">
        <f>IFERROR(INDEX(SUBATIVOS!A:A,MATCH(7,SUBATIVOS!$H:$H,0)),"")</f>
        <v/>
      </c>
      <c r="B40" s="15">
        <f>IFERROR(INDEX(SUBATIVOS!C:C,MATCH(7,SUBATIVOS!$H:$H,0)),"")</f>
        <v/>
      </c>
      <c r="C40" s="15">
        <f>IFERROR(INDEX(SUBATIVOS!D:D,MATCH(7,SUBATIVOS!$H:$H,0)),"")</f>
        <v/>
      </c>
      <c r="D40" s="15">
        <f>IFERROR(INDEX(SUBATIVOS!E:E,MATCH(7,SUBATIVOS!$H:$H,0)),"")</f>
        <v/>
      </c>
      <c r="E40" s="15">
        <f>IFERROR(INDEX(SUBATIVOS!F:F,MATCH(7,SUBATIVOS!$H:$H,0)),"")</f>
        <v/>
      </c>
      <c r="F40" s="15">
        <f>IFERROR(INDEX(SUBATIVOS!G:G,MATCH(7,SUBATIVOS!$H:$H,0)),"")</f>
        <v/>
      </c>
    </row>
    <row r="41" ht="18" customHeight="1">
      <c r="A41" s="27">
        <f>IFERROR(INDEX(SUBATIVOS!A:A,MATCH(8,SUBATIVOS!$H:$H,0)),"")</f>
        <v/>
      </c>
      <c r="B41" s="27">
        <f>IFERROR(INDEX(SUBATIVOS!C:C,MATCH(8,SUBATIVOS!$H:$H,0)),"")</f>
        <v/>
      </c>
      <c r="C41" s="27">
        <f>IFERROR(INDEX(SUBATIVOS!D:D,MATCH(8,SUBATIVOS!$H:$H,0)),"")</f>
        <v/>
      </c>
      <c r="D41" s="27">
        <f>IFERROR(INDEX(SUBATIVOS!E:E,MATCH(8,SUBATIVOS!$H:$H,0)),"")</f>
        <v/>
      </c>
      <c r="E41" s="27">
        <f>IFERROR(INDEX(SUBATIVOS!F:F,MATCH(8,SUBATIVOS!$H:$H,0)),"")</f>
        <v/>
      </c>
      <c r="F41" s="27">
        <f>IFERROR(INDEX(SUBATIVOS!G:G,MATCH(8,SUBATIVOS!$H:$H,0)),"")</f>
        <v/>
      </c>
    </row>
    <row r="42" ht="18" customHeight="1">
      <c r="A42" s="15">
        <f>IFERROR(INDEX(SUBATIVOS!A:A,MATCH(9,SUBATIVOS!$H:$H,0)),"")</f>
        <v/>
      </c>
      <c r="B42" s="15">
        <f>IFERROR(INDEX(SUBATIVOS!C:C,MATCH(9,SUBATIVOS!$H:$H,0)),"")</f>
        <v/>
      </c>
      <c r="C42" s="15">
        <f>IFERROR(INDEX(SUBATIVOS!D:D,MATCH(9,SUBATIVOS!$H:$H,0)),"")</f>
        <v/>
      </c>
      <c r="D42" s="15">
        <f>IFERROR(INDEX(SUBATIVOS!E:E,MATCH(9,SUBATIVOS!$H:$H,0)),"")</f>
        <v/>
      </c>
      <c r="E42" s="15">
        <f>IFERROR(INDEX(SUBATIVOS!F:F,MATCH(9,SUBATIVOS!$H:$H,0)),"")</f>
        <v/>
      </c>
      <c r="F42" s="15">
        <f>IFERROR(INDEX(SUBATIVOS!G:G,MATCH(9,SUBATIVOS!$H:$H,0)),"")</f>
        <v/>
      </c>
    </row>
    <row r="43" ht="18" customHeight="1">
      <c r="A43" s="27">
        <f>IFERROR(INDEX(SUBATIVOS!A:A,MATCH(10,SUBATIVOS!$H:$H,0)),"")</f>
        <v/>
      </c>
      <c r="B43" s="27">
        <f>IFERROR(INDEX(SUBATIVOS!C:C,MATCH(10,SUBATIVOS!$H:$H,0)),"")</f>
        <v/>
      </c>
      <c r="C43" s="27">
        <f>IFERROR(INDEX(SUBATIVOS!D:D,MATCH(10,SUBATIVOS!$H:$H,0)),"")</f>
        <v/>
      </c>
      <c r="D43" s="27">
        <f>IFERROR(INDEX(SUBATIVOS!E:E,MATCH(10,SUBATIVOS!$H:$H,0)),"")</f>
        <v/>
      </c>
      <c r="E43" s="27">
        <f>IFERROR(INDEX(SUBATIVOS!F:F,MATCH(10,SUBATIVOS!$H:$H,0)),"")</f>
        <v/>
      </c>
      <c r="F43" s="27">
        <f>IFERROR(INDEX(SUBATIVOS!G:G,MATCH(10,SUBATIVOS!$H:$H,0)),"")</f>
        <v/>
      </c>
    </row>
    <row r="44" ht="8" customHeight="1"/>
    <row r="45" ht="26" customHeight="1">
      <c r="A45" s="22" t="inlineStr">
        <is>
          <t xml:space="preserve">  5.   PNEUS</t>
        </is>
      </c>
    </row>
    <row r="46" ht="22" customHeight="1">
      <c r="A46" s="26" t="inlineStr">
        <is>
          <t>Pneu_ID</t>
        </is>
      </c>
      <c r="B46" s="26" t="inlineStr">
        <is>
          <t>Posição</t>
        </is>
      </c>
      <c r="C46" s="26" t="inlineStr">
        <is>
          <t>Marca</t>
        </is>
      </c>
      <c r="D46" s="26" t="inlineStr">
        <is>
          <t>Medida</t>
        </is>
      </c>
      <c r="E46" s="26" t="inlineStr">
        <is>
          <t>Sulco</t>
        </is>
      </c>
      <c r="F46" s="26" t="inlineStr">
        <is>
          <t>Status</t>
        </is>
      </c>
    </row>
    <row r="47" ht="18" customHeight="1">
      <c r="A47" s="15">
        <f>IFERROR(INDEX(PNEUS!A:A,MATCH(1,PNEUS!$H:$H,0)),"")</f>
        <v/>
      </c>
      <c r="B47" s="15">
        <f>IFERROR(INDEX(PNEUS!C:C,MATCH(1,PNEUS!$H:$H,0)),"")</f>
        <v/>
      </c>
      <c r="C47" s="15">
        <f>IFERROR(INDEX(PNEUS!D:D,MATCH(1,PNEUS!$H:$H,0)),"")</f>
        <v/>
      </c>
      <c r="D47" s="15">
        <f>IFERROR(INDEX(PNEUS!E:E,MATCH(1,PNEUS!$H:$H,0)),"")</f>
        <v/>
      </c>
      <c r="E47" s="15">
        <f>IFERROR(INDEX(PNEUS!F:F,MATCH(1,PNEUS!$H:$H,0)),"")</f>
        <v/>
      </c>
      <c r="F47" s="15">
        <f>IFERROR(INDEX(PNEUS!G:G,MATCH(1,PNEUS!$H:$H,0)),"")</f>
        <v/>
      </c>
    </row>
    <row r="48" ht="18" customHeight="1">
      <c r="A48" s="27">
        <f>IFERROR(INDEX(PNEUS!A:A,MATCH(2,PNEUS!$H:$H,0)),"")</f>
        <v/>
      </c>
      <c r="B48" s="27">
        <f>IFERROR(INDEX(PNEUS!C:C,MATCH(2,PNEUS!$H:$H,0)),"")</f>
        <v/>
      </c>
      <c r="C48" s="27">
        <f>IFERROR(INDEX(PNEUS!D:D,MATCH(2,PNEUS!$H:$H,0)),"")</f>
        <v/>
      </c>
      <c r="D48" s="27">
        <f>IFERROR(INDEX(PNEUS!E:E,MATCH(2,PNEUS!$H:$H,0)),"")</f>
        <v/>
      </c>
      <c r="E48" s="27">
        <f>IFERROR(INDEX(PNEUS!F:F,MATCH(2,PNEUS!$H:$H,0)),"")</f>
        <v/>
      </c>
      <c r="F48" s="27">
        <f>IFERROR(INDEX(PNEUS!G:G,MATCH(2,PNEUS!$H:$H,0)),"")</f>
        <v/>
      </c>
    </row>
    <row r="49" ht="18" customHeight="1">
      <c r="A49" s="15">
        <f>IFERROR(INDEX(PNEUS!A:A,MATCH(3,PNEUS!$H:$H,0)),"")</f>
        <v/>
      </c>
      <c r="B49" s="15">
        <f>IFERROR(INDEX(PNEUS!C:C,MATCH(3,PNEUS!$H:$H,0)),"")</f>
        <v/>
      </c>
      <c r="C49" s="15">
        <f>IFERROR(INDEX(PNEUS!D:D,MATCH(3,PNEUS!$H:$H,0)),"")</f>
        <v/>
      </c>
      <c r="D49" s="15">
        <f>IFERROR(INDEX(PNEUS!E:E,MATCH(3,PNEUS!$H:$H,0)),"")</f>
        <v/>
      </c>
      <c r="E49" s="15">
        <f>IFERROR(INDEX(PNEUS!F:F,MATCH(3,PNEUS!$H:$H,0)),"")</f>
        <v/>
      </c>
      <c r="F49" s="15">
        <f>IFERROR(INDEX(PNEUS!G:G,MATCH(3,PNEUS!$H:$H,0)),"")</f>
        <v/>
      </c>
    </row>
    <row r="50" ht="18" customHeight="1">
      <c r="A50" s="27">
        <f>IFERROR(INDEX(PNEUS!A:A,MATCH(4,PNEUS!$H:$H,0)),"")</f>
        <v/>
      </c>
      <c r="B50" s="27">
        <f>IFERROR(INDEX(PNEUS!C:C,MATCH(4,PNEUS!$H:$H,0)),"")</f>
        <v/>
      </c>
      <c r="C50" s="27">
        <f>IFERROR(INDEX(PNEUS!D:D,MATCH(4,PNEUS!$H:$H,0)),"")</f>
        <v/>
      </c>
      <c r="D50" s="27">
        <f>IFERROR(INDEX(PNEUS!E:E,MATCH(4,PNEUS!$H:$H,0)),"")</f>
        <v/>
      </c>
      <c r="E50" s="27">
        <f>IFERROR(INDEX(PNEUS!F:F,MATCH(4,PNEUS!$H:$H,0)),"")</f>
        <v/>
      </c>
      <c r="F50" s="27">
        <f>IFERROR(INDEX(PNEUS!G:G,MATCH(4,PNEUS!$H:$H,0)),"")</f>
        <v/>
      </c>
    </row>
    <row r="51" ht="18" customHeight="1">
      <c r="A51" s="15">
        <f>IFERROR(INDEX(PNEUS!A:A,MATCH(5,PNEUS!$H:$H,0)),"")</f>
        <v/>
      </c>
      <c r="B51" s="15">
        <f>IFERROR(INDEX(PNEUS!C:C,MATCH(5,PNEUS!$H:$H,0)),"")</f>
        <v/>
      </c>
      <c r="C51" s="15">
        <f>IFERROR(INDEX(PNEUS!D:D,MATCH(5,PNEUS!$H:$H,0)),"")</f>
        <v/>
      </c>
      <c r="D51" s="15">
        <f>IFERROR(INDEX(PNEUS!E:E,MATCH(5,PNEUS!$H:$H,0)),"")</f>
        <v/>
      </c>
      <c r="E51" s="15">
        <f>IFERROR(INDEX(PNEUS!F:F,MATCH(5,PNEUS!$H:$H,0)),"")</f>
        <v/>
      </c>
      <c r="F51" s="15">
        <f>IFERROR(INDEX(PNEUS!G:G,MATCH(5,PNEUS!$H:$H,0)),"")</f>
        <v/>
      </c>
    </row>
    <row r="52" ht="18" customHeight="1">
      <c r="A52" s="27">
        <f>IFERROR(INDEX(PNEUS!A:A,MATCH(6,PNEUS!$H:$H,0)),"")</f>
        <v/>
      </c>
      <c r="B52" s="27">
        <f>IFERROR(INDEX(PNEUS!C:C,MATCH(6,PNEUS!$H:$H,0)),"")</f>
        <v/>
      </c>
      <c r="C52" s="27">
        <f>IFERROR(INDEX(PNEUS!D:D,MATCH(6,PNEUS!$H:$H,0)),"")</f>
        <v/>
      </c>
      <c r="D52" s="27">
        <f>IFERROR(INDEX(PNEUS!E:E,MATCH(6,PNEUS!$H:$H,0)),"")</f>
        <v/>
      </c>
      <c r="E52" s="27">
        <f>IFERROR(INDEX(PNEUS!F:F,MATCH(6,PNEUS!$H:$H,0)),"")</f>
        <v/>
      </c>
      <c r="F52" s="27">
        <f>IFERROR(INDEX(PNEUS!G:G,MATCH(6,PNEUS!$H:$H,0)),"")</f>
        <v/>
      </c>
    </row>
    <row r="53" ht="18" customHeight="1">
      <c r="A53" s="15">
        <f>IFERROR(INDEX(PNEUS!A:A,MATCH(7,PNEUS!$H:$H,0)),"")</f>
        <v/>
      </c>
      <c r="B53" s="15">
        <f>IFERROR(INDEX(PNEUS!C:C,MATCH(7,PNEUS!$H:$H,0)),"")</f>
        <v/>
      </c>
      <c r="C53" s="15">
        <f>IFERROR(INDEX(PNEUS!D:D,MATCH(7,PNEUS!$H:$H,0)),"")</f>
        <v/>
      </c>
      <c r="D53" s="15">
        <f>IFERROR(INDEX(PNEUS!E:E,MATCH(7,PNEUS!$H:$H,0)),"")</f>
        <v/>
      </c>
      <c r="E53" s="15">
        <f>IFERROR(INDEX(PNEUS!F:F,MATCH(7,PNEUS!$H:$H,0)),"")</f>
        <v/>
      </c>
      <c r="F53" s="15">
        <f>IFERROR(INDEX(PNEUS!G:G,MATCH(7,PNEUS!$H:$H,0)),"")</f>
        <v/>
      </c>
    </row>
    <row r="54" ht="18" customHeight="1">
      <c r="A54" s="27">
        <f>IFERROR(INDEX(PNEUS!A:A,MATCH(8,PNEUS!$H:$H,0)),"")</f>
        <v/>
      </c>
      <c r="B54" s="27">
        <f>IFERROR(INDEX(PNEUS!C:C,MATCH(8,PNEUS!$H:$H,0)),"")</f>
        <v/>
      </c>
      <c r="C54" s="27">
        <f>IFERROR(INDEX(PNEUS!D:D,MATCH(8,PNEUS!$H:$H,0)),"")</f>
        <v/>
      </c>
      <c r="D54" s="27">
        <f>IFERROR(INDEX(PNEUS!E:E,MATCH(8,PNEUS!$H:$H,0)),"")</f>
        <v/>
      </c>
      <c r="E54" s="27">
        <f>IFERROR(INDEX(PNEUS!F:F,MATCH(8,PNEUS!$H:$H,0)),"")</f>
        <v/>
      </c>
      <c r="F54" s="27">
        <f>IFERROR(INDEX(PNEUS!G:G,MATCH(8,PNEUS!$H:$H,0)),"")</f>
        <v/>
      </c>
    </row>
    <row r="55" ht="18" customHeight="1">
      <c r="A55" s="15">
        <f>IFERROR(INDEX(PNEUS!A:A,MATCH(9,PNEUS!$H:$H,0)),"")</f>
        <v/>
      </c>
      <c r="B55" s="15">
        <f>IFERROR(INDEX(PNEUS!C:C,MATCH(9,PNEUS!$H:$H,0)),"")</f>
        <v/>
      </c>
      <c r="C55" s="15">
        <f>IFERROR(INDEX(PNEUS!D:D,MATCH(9,PNEUS!$H:$H,0)),"")</f>
        <v/>
      </c>
      <c r="D55" s="15">
        <f>IFERROR(INDEX(PNEUS!E:E,MATCH(9,PNEUS!$H:$H,0)),"")</f>
        <v/>
      </c>
      <c r="E55" s="15">
        <f>IFERROR(INDEX(PNEUS!F:F,MATCH(9,PNEUS!$H:$H,0)),"")</f>
        <v/>
      </c>
      <c r="F55" s="15">
        <f>IFERROR(INDEX(PNEUS!G:G,MATCH(9,PNEUS!$H:$H,0)),"")</f>
        <v/>
      </c>
    </row>
    <row r="56" ht="18" customHeight="1">
      <c r="A56" s="27">
        <f>IFERROR(INDEX(PNEUS!A:A,MATCH(10,PNEUS!$H:$H,0)),"")</f>
        <v/>
      </c>
      <c r="B56" s="27">
        <f>IFERROR(INDEX(PNEUS!C:C,MATCH(10,PNEUS!$H:$H,0)),"")</f>
        <v/>
      </c>
      <c r="C56" s="27">
        <f>IFERROR(INDEX(PNEUS!D:D,MATCH(10,PNEUS!$H:$H,0)),"")</f>
        <v/>
      </c>
      <c r="D56" s="27">
        <f>IFERROR(INDEX(PNEUS!E:E,MATCH(10,PNEUS!$H:$H,0)),"")</f>
        <v/>
      </c>
      <c r="E56" s="27">
        <f>IFERROR(INDEX(PNEUS!F:F,MATCH(10,PNEUS!$H:$H,0)),"")</f>
        <v/>
      </c>
      <c r="F56" s="27">
        <f>IFERROR(INDEX(PNEUS!G:G,MATCH(10,PNEUS!$H:$H,0)),"")</f>
        <v/>
      </c>
    </row>
    <row r="57" ht="8" customHeight="1"/>
    <row r="58" ht="26" customHeight="1">
      <c r="A58" s="22" t="inlineStr">
        <is>
          <t xml:space="preserve">  6.   OCORRÊNCIAS</t>
        </is>
      </c>
    </row>
    <row r="59" ht="22" customHeight="1">
      <c r="A59" s="26" t="inlineStr">
        <is>
          <t>Oco_ID</t>
        </is>
      </c>
      <c r="B59" s="26" t="inlineStr">
        <is>
          <t>Tipo</t>
        </is>
      </c>
      <c r="C59" s="26" t="inlineStr">
        <is>
          <t>Descrição</t>
        </is>
      </c>
      <c r="D59" s="28" t="n"/>
      <c r="E59" s="26" t="inlineStr">
        <is>
          <t>Gravidade</t>
        </is>
      </c>
      <c r="F59" s="26" t="inlineStr">
        <is>
          <t>Status</t>
        </is>
      </c>
    </row>
    <row r="60" ht="18" customHeight="1">
      <c r="A60" s="15">
        <f>IFERROR(INDEX(OCORRENCIAS!A:A,MATCH(1,OCORRENCIAS!$H:$H,0)),"")</f>
        <v/>
      </c>
      <c r="B60" s="15">
        <f>IFERROR(INDEX(OCORRENCIAS!C:C,MATCH(1,OCORRENCIAS!$H:$H,0)),"")</f>
        <v/>
      </c>
      <c r="C60" s="15">
        <f>IFERROR(INDEX(OCORRENCIAS!D:D,MATCH(1,OCORRENCIAS!$H:$H,0)),"")</f>
        <v/>
      </c>
      <c r="D60" s="15" t="n"/>
      <c r="E60" s="15">
        <f>IFERROR(INDEX(OCORRENCIAS!E:E,MATCH(1,OCORRENCIAS!$H:$H,0)),"")</f>
        <v/>
      </c>
      <c r="F60" s="15">
        <f>IFERROR(INDEX(OCORRENCIAS!F:F,MATCH(1,OCORRENCIAS!$H:$H,0)),"")</f>
        <v/>
      </c>
    </row>
    <row r="61" ht="18" customHeight="1">
      <c r="A61" s="27">
        <f>IFERROR(INDEX(OCORRENCIAS!A:A,MATCH(2,OCORRENCIAS!$H:$H,0)),"")</f>
        <v/>
      </c>
      <c r="B61" s="27">
        <f>IFERROR(INDEX(OCORRENCIAS!C:C,MATCH(2,OCORRENCIAS!$H:$H,0)),"")</f>
        <v/>
      </c>
      <c r="C61" s="27">
        <f>IFERROR(INDEX(OCORRENCIAS!D:D,MATCH(2,OCORRENCIAS!$H:$H,0)),"")</f>
        <v/>
      </c>
      <c r="D61" s="27" t="n"/>
      <c r="E61" s="27">
        <f>IFERROR(INDEX(OCORRENCIAS!E:E,MATCH(2,OCORRENCIAS!$H:$H,0)),"")</f>
        <v/>
      </c>
      <c r="F61" s="27">
        <f>IFERROR(INDEX(OCORRENCIAS!F:F,MATCH(2,OCORRENCIAS!$H:$H,0)),"")</f>
        <v/>
      </c>
    </row>
    <row r="62" ht="18" customHeight="1">
      <c r="A62" s="15">
        <f>IFERROR(INDEX(OCORRENCIAS!A:A,MATCH(3,OCORRENCIAS!$H:$H,0)),"")</f>
        <v/>
      </c>
      <c r="B62" s="15">
        <f>IFERROR(INDEX(OCORRENCIAS!C:C,MATCH(3,OCORRENCIAS!$H:$H,0)),"")</f>
        <v/>
      </c>
      <c r="C62" s="15">
        <f>IFERROR(INDEX(OCORRENCIAS!D:D,MATCH(3,OCORRENCIAS!$H:$H,0)),"")</f>
        <v/>
      </c>
      <c r="D62" s="15" t="n"/>
      <c r="E62" s="15">
        <f>IFERROR(INDEX(OCORRENCIAS!E:E,MATCH(3,OCORRENCIAS!$H:$H,0)),"")</f>
        <v/>
      </c>
      <c r="F62" s="15">
        <f>IFERROR(INDEX(OCORRENCIAS!F:F,MATCH(3,OCORRENCIAS!$H:$H,0)),"")</f>
        <v/>
      </c>
    </row>
    <row r="63" ht="18" customHeight="1">
      <c r="A63" s="27">
        <f>IFERROR(INDEX(OCORRENCIAS!A:A,MATCH(4,OCORRENCIAS!$H:$H,0)),"")</f>
        <v/>
      </c>
      <c r="B63" s="27">
        <f>IFERROR(INDEX(OCORRENCIAS!C:C,MATCH(4,OCORRENCIAS!$H:$H,0)),"")</f>
        <v/>
      </c>
      <c r="C63" s="27">
        <f>IFERROR(INDEX(OCORRENCIAS!D:D,MATCH(4,OCORRENCIAS!$H:$H,0)),"")</f>
        <v/>
      </c>
      <c r="D63" s="27" t="n"/>
      <c r="E63" s="27">
        <f>IFERROR(INDEX(OCORRENCIAS!E:E,MATCH(4,OCORRENCIAS!$H:$H,0)),"")</f>
        <v/>
      </c>
      <c r="F63" s="27">
        <f>IFERROR(INDEX(OCORRENCIAS!F:F,MATCH(4,OCORRENCIAS!$H:$H,0)),"")</f>
        <v/>
      </c>
    </row>
    <row r="64" ht="18" customHeight="1">
      <c r="A64" s="15">
        <f>IFERROR(INDEX(OCORRENCIAS!A:A,MATCH(5,OCORRENCIAS!$H:$H,0)),"")</f>
        <v/>
      </c>
      <c r="B64" s="15">
        <f>IFERROR(INDEX(OCORRENCIAS!C:C,MATCH(5,OCORRENCIAS!$H:$H,0)),"")</f>
        <v/>
      </c>
      <c r="C64" s="15">
        <f>IFERROR(INDEX(OCORRENCIAS!D:D,MATCH(5,OCORRENCIAS!$H:$H,0)),"")</f>
        <v/>
      </c>
      <c r="D64" s="15" t="n"/>
      <c r="E64" s="15">
        <f>IFERROR(INDEX(OCORRENCIAS!E:E,MATCH(5,OCORRENCIAS!$H:$H,0)),"")</f>
        <v/>
      </c>
      <c r="F64" s="15">
        <f>IFERROR(INDEX(OCORRENCIAS!F:F,MATCH(5,OCORRENCIAS!$H:$H,0)),"")</f>
        <v/>
      </c>
    </row>
    <row r="65" ht="18" customHeight="1">
      <c r="A65" s="27">
        <f>IFERROR(INDEX(OCORRENCIAS!A:A,MATCH(6,OCORRENCIAS!$H:$H,0)),"")</f>
        <v/>
      </c>
      <c r="B65" s="27">
        <f>IFERROR(INDEX(OCORRENCIAS!C:C,MATCH(6,OCORRENCIAS!$H:$H,0)),"")</f>
        <v/>
      </c>
      <c r="C65" s="27">
        <f>IFERROR(INDEX(OCORRENCIAS!D:D,MATCH(6,OCORRENCIAS!$H:$H,0)),"")</f>
        <v/>
      </c>
      <c r="D65" s="27" t="n"/>
      <c r="E65" s="27">
        <f>IFERROR(INDEX(OCORRENCIAS!E:E,MATCH(6,OCORRENCIAS!$H:$H,0)),"")</f>
        <v/>
      </c>
      <c r="F65" s="27">
        <f>IFERROR(INDEX(OCORRENCIAS!F:F,MATCH(6,OCORRENCIAS!$H:$H,0)),"")</f>
        <v/>
      </c>
    </row>
    <row r="66" ht="18" customHeight="1">
      <c r="A66" s="15">
        <f>IFERROR(INDEX(OCORRENCIAS!A:A,MATCH(7,OCORRENCIAS!$H:$H,0)),"")</f>
        <v/>
      </c>
      <c r="B66" s="15">
        <f>IFERROR(INDEX(OCORRENCIAS!C:C,MATCH(7,OCORRENCIAS!$H:$H,0)),"")</f>
        <v/>
      </c>
      <c r="C66" s="15">
        <f>IFERROR(INDEX(OCORRENCIAS!D:D,MATCH(7,OCORRENCIAS!$H:$H,0)),"")</f>
        <v/>
      </c>
      <c r="D66" s="15" t="n"/>
      <c r="E66" s="15">
        <f>IFERROR(INDEX(OCORRENCIAS!E:E,MATCH(7,OCORRENCIAS!$H:$H,0)),"")</f>
        <v/>
      </c>
      <c r="F66" s="15">
        <f>IFERROR(INDEX(OCORRENCIAS!F:F,MATCH(7,OCORRENCIAS!$H:$H,0)),"")</f>
        <v/>
      </c>
    </row>
    <row r="67" ht="18" customHeight="1">
      <c r="A67" s="27">
        <f>IFERROR(INDEX(OCORRENCIAS!A:A,MATCH(8,OCORRENCIAS!$H:$H,0)),"")</f>
        <v/>
      </c>
      <c r="B67" s="27">
        <f>IFERROR(INDEX(OCORRENCIAS!C:C,MATCH(8,OCORRENCIAS!$H:$H,0)),"")</f>
        <v/>
      </c>
      <c r="C67" s="27">
        <f>IFERROR(INDEX(OCORRENCIAS!D:D,MATCH(8,OCORRENCIAS!$H:$H,0)),"")</f>
        <v/>
      </c>
      <c r="D67" s="27" t="n"/>
      <c r="E67" s="27">
        <f>IFERROR(INDEX(OCORRENCIAS!E:E,MATCH(8,OCORRENCIAS!$H:$H,0)),"")</f>
        <v/>
      </c>
      <c r="F67" s="27">
        <f>IFERROR(INDEX(OCORRENCIAS!F:F,MATCH(8,OCORRENCIAS!$H:$H,0)),"")</f>
        <v/>
      </c>
    </row>
    <row r="68" ht="18" customHeight="1">
      <c r="A68" s="15">
        <f>IFERROR(INDEX(OCORRENCIAS!A:A,MATCH(9,OCORRENCIAS!$H:$H,0)),"")</f>
        <v/>
      </c>
      <c r="B68" s="15">
        <f>IFERROR(INDEX(OCORRENCIAS!C:C,MATCH(9,OCORRENCIAS!$H:$H,0)),"")</f>
        <v/>
      </c>
      <c r="C68" s="15">
        <f>IFERROR(INDEX(OCORRENCIAS!D:D,MATCH(9,OCORRENCIAS!$H:$H,0)),"")</f>
        <v/>
      </c>
      <c r="D68" s="15" t="n"/>
      <c r="E68" s="15">
        <f>IFERROR(INDEX(OCORRENCIAS!E:E,MATCH(9,OCORRENCIAS!$H:$H,0)),"")</f>
        <v/>
      </c>
      <c r="F68" s="15">
        <f>IFERROR(INDEX(OCORRENCIAS!F:F,MATCH(9,OCORRENCIAS!$H:$H,0)),"")</f>
        <v/>
      </c>
    </row>
    <row r="69" ht="18" customHeight="1">
      <c r="A69" s="27">
        <f>IFERROR(INDEX(OCORRENCIAS!A:A,MATCH(10,OCORRENCIAS!$H:$H,0)),"")</f>
        <v/>
      </c>
      <c r="B69" s="27">
        <f>IFERROR(INDEX(OCORRENCIAS!C:C,MATCH(10,OCORRENCIAS!$H:$H,0)),"")</f>
        <v/>
      </c>
      <c r="C69" s="27">
        <f>IFERROR(INDEX(OCORRENCIAS!D:D,MATCH(10,OCORRENCIAS!$H:$H,0)),"")</f>
        <v/>
      </c>
      <c r="D69" s="27" t="n"/>
      <c r="E69" s="27">
        <f>IFERROR(INDEX(OCORRENCIAS!E:E,MATCH(10,OCORRENCIAS!$H:$H,0)),"")</f>
        <v/>
      </c>
      <c r="F69" s="27">
        <f>IFERROR(INDEX(OCORRENCIAS!F:F,MATCH(10,OCORRENCIAS!$H:$H,0)),"")</f>
        <v/>
      </c>
    </row>
    <row r="70" ht="8" customHeight="1"/>
    <row r="71" ht="26" customHeight="1">
      <c r="A71" s="22" t="inlineStr">
        <is>
          <t xml:space="preserve">  7.   REGISTRO FOTOGRÁFICO</t>
        </is>
      </c>
    </row>
    <row r="72" ht="22" customHeight="1">
      <c r="A72" s="29" t="inlineStr">
        <is>
          <t>(inserir aqui as fotos da inspeção ou links das evidências)</t>
        </is>
      </c>
      <c r="B72" s="24" t="n"/>
      <c r="C72" s="24" t="n"/>
      <c r="D72" s="24" t="n"/>
      <c r="E72" s="24" t="n"/>
      <c r="F72" s="24" t="n"/>
    </row>
    <row r="73" ht="22" customHeight="1">
      <c r="A73" s="24" t="n"/>
      <c r="B73" s="24" t="n"/>
      <c r="C73" s="24" t="n"/>
      <c r="D73" s="24" t="n"/>
      <c r="E73" s="24" t="n"/>
      <c r="F73" s="24" t="n"/>
    </row>
    <row r="74" ht="22" customHeight="1">
      <c r="A74" s="24" t="n"/>
      <c r="B74" s="24" t="n"/>
      <c r="C74" s="24" t="n"/>
      <c r="D74" s="24" t="n"/>
      <c r="E74" s="24" t="n"/>
      <c r="F74" s="24" t="n"/>
    </row>
    <row r="75" ht="12" customHeight="1"/>
    <row r="76" ht="22" customHeight="1">
      <c r="A76" s="30" t="inlineStr">
        <is>
          <t>________________________________________</t>
        </is>
      </c>
      <c r="D76" s="30" t="inlineStr">
        <is>
          <t>________________________________________</t>
        </is>
      </c>
    </row>
    <row r="77" ht="18" customHeight="1">
      <c r="A77" s="31" t="inlineStr">
        <is>
          <t>Kaká — Inspeção Técnica</t>
        </is>
      </c>
      <c r="D77" s="31" t="inlineStr">
        <is>
          <t>Estagiário — Registro Administrativo</t>
        </is>
      </c>
    </row>
  </sheetData>
  <mergeCells count="35">
    <mergeCell ref="A16:F16"/>
    <mergeCell ref="B9:E9"/>
    <mergeCell ref="D76:F76"/>
    <mergeCell ref="C62:D62"/>
    <mergeCell ref="C68:D68"/>
    <mergeCell ref="C64:D64"/>
    <mergeCell ref="A2:F2"/>
    <mergeCell ref="E4:F4"/>
    <mergeCell ref="A71:F71"/>
    <mergeCell ref="A76:C76"/>
    <mergeCell ref="C63:D63"/>
    <mergeCell ref="C65:D65"/>
    <mergeCell ref="A32:F32"/>
    <mergeCell ref="B7:E7"/>
    <mergeCell ref="D77:F77"/>
    <mergeCell ref="C59:D59"/>
    <mergeCell ref="A72:F74"/>
    <mergeCell ref="C60:D60"/>
    <mergeCell ref="B12:E12"/>
    <mergeCell ref="A58:F58"/>
    <mergeCell ref="B11:E11"/>
    <mergeCell ref="C61:D61"/>
    <mergeCell ref="A77:C77"/>
    <mergeCell ref="B14:E14"/>
    <mergeCell ref="A24:F24"/>
    <mergeCell ref="B8:E8"/>
    <mergeCell ref="C67:D67"/>
    <mergeCell ref="B13:E13"/>
    <mergeCell ref="A1:F1"/>
    <mergeCell ref="A45:F45"/>
    <mergeCell ref="A6:F6"/>
    <mergeCell ref="C66:D66"/>
    <mergeCell ref="B10:E10"/>
    <mergeCell ref="B4:C4"/>
    <mergeCell ref="C69:D69"/>
  </mergeCells>
  <conditionalFormatting sqref="E4">
    <cfRule type="cellIs" priority="1" operator="equal" dxfId="0">
      <formula>"Crítico"</formula>
    </cfRule>
    <cfRule type="cellIs" priority="2" operator="equal" dxfId="1">
      <formula>"Atenção"</formula>
    </cfRule>
    <cfRule type="cellIs" priority="3" operator="equal" dxfId="2">
      <formula>"OK"</formula>
    </cfRule>
  </conditionalFormatting>
  <conditionalFormatting sqref="B13">
    <cfRule type="cellIs" priority="4" operator="equal" dxfId="3">
      <formula>"A"</formula>
    </cfRule>
    <cfRule type="cellIs" priority="5" operator="equal" dxfId="4">
      <formula>"B"</formula>
    </cfRule>
    <cfRule type="cellIs" priority="6" operator="equal" dxfId="5">
      <formula>"C"</formula>
    </cfRule>
    <cfRule type="cellIs" priority="7" operator="equal" dxfId="6">
      <formula>"D"</formula>
    </cfRule>
  </conditionalFormatting>
  <dataValidations count="1">
    <dataValidation sqref="B4" showDropDown="0" showInputMessage="0" showErrorMessage="0" allowBlank="1" type="list">
      <formula1>=ATIVO_PAI!$A$2:$A$1000</formula1>
    </dataValidation>
  </dataValidations>
  <pageMargins left="0.5" right="0.5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2" customHeight="1">
      <c r="A1" s="32" t="inlineStr">
        <is>
          <t>RESUMO GERAL</t>
        </is>
      </c>
    </row>
    <row r="2">
      <c r="A2" s="33" t="inlineStr">
        <is>
          <t>Indicador</t>
        </is>
      </c>
      <c r="B2" s="26" t="inlineStr">
        <is>
          <t>Valor</t>
        </is>
      </c>
    </row>
    <row r="3">
      <c r="A3" s="18" t="inlineStr">
        <is>
          <t>Total de ativos</t>
        </is>
      </c>
      <c r="B3" s="34">
        <f>COUNTA(ATIVO_PAI!A2:A1000)</f>
        <v/>
      </c>
    </row>
    <row r="4">
      <c r="A4" s="35" t="inlineStr">
        <is>
          <t>Ativos classe A</t>
        </is>
      </c>
      <c r="B4" s="36">
        <f>COUNTIF(ATIVO_PAI!G2:G1000,"A")</f>
        <v/>
      </c>
    </row>
    <row r="5">
      <c r="A5" s="18" t="inlineStr">
        <is>
          <t>Ativos classe B</t>
        </is>
      </c>
      <c r="B5" s="34">
        <f>COUNTIF(ATIVO_PAI!G2:G1000,"B")</f>
        <v/>
      </c>
    </row>
    <row r="6">
      <c r="A6" s="35" t="inlineStr">
        <is>
          <t>Ativos classe C</t>
        </is>
      </c>
      <c r="B6" s="36">
        <f>COUNTIF(ATIVO_PAI!G2:G1000,"C")</f>
        <v/>
      </c>
    </row>
    <row r="7">
      <c r="A7" s="18" t="inlineStr">
        <is>
          <t>Ativos classe D</t>
        </is>
      </c>
      <c r="B7" s="34">
        <f>COUNTIF(ATIVO_PAI!G2:G1000,"D")</f>
        <v/>
      </c>
    </row>
    <row r="8">
      <c r="A8" s="35" t="inlineStr">
        <is>
          <t>Ocorrências abertas</t>
        </is>
      </c>
      <c r="B8" s="36">
        <f>COUNTIF(OCORRENCIAS!F2:F1000,"Aberta")</f>
        <v/>
      </c>
    </row>
    <row r="9">
      <c r="A9" s="18" t="inlineStr">
        <is>
          <t>Subativos degradados</t>
        </is>
      </c>
      <c r="B9" s="34">
        <f>COUNTIF(SUBATIVOS!D2:D1000,"Degradado")</f>
        <v/>
      </c>
    </row>
    <row r="10">
      <c r="A10" s="35" t="inlineStr">
        <is>
          <t>Subativos inoperantes</t>
        </is>
      </c>
      <c r="B10" s="36">
        <f>COUNTIF(SUBATIVOS!D2:D1000,"Inoperante")</f>
        <v/>
      </c>
    </row>
    <row r="11">
      <c r="A11" s="18" t="inlineStr">
        <is>
          <t>Pneus condenados</t>
        </is>
      </c>
      <c r="B11" s="34">
        <f>COUNTIF(PNEUS!G2:G1000,"Condenado")</f>
        <v/>
      </c>
    </row>
    <row r="12">
      <c r="A12" s="35" t="inlineStr">
        <is>
          <t>Inspeções registradas</t>
        </is>
      </c>
      <c r="B12" s="36">
        <f>COUNTA(INSPECOES!A2:A1000)</f>
        <v/>
      </c>
    </row>
    <row r="13">
      <c r="A13" s="18" t="inlineStr">
        <is>
          <t>Eventos registrados</t>
        </is>
      </c>
      <c r="B13" s="34">
        <f>COUNTA(EVENTOS!A2:A1000)</f>
        <v/>
      </c>
    </row>
    <row r="15" ht="24" customHeight="1">
      <c r="A15" s="8" t="inlineStr">
        <is>
          <t>PENDÊNCIAS POR ATIVO</t>
        </is>
      </c>
    </row>
    <row r="16">
      <c r="A16" s="26" t="inlineStr">
        <is>
          <t>Asset_ID</t>
        </is>
      </c>
      <c r="B16" s="26" t="inlineStr">
        <is>
          <t>Placa</t>
        </is>
      </c>
      <c r="C16" s="26" t="inlineStr">
        <is>
          <t>Classificação</t>
        </is>
      </c>
      <c r="D16" s="26" t="inlineStr">
        <is>
          <t>Ocor. Abertas</t>
        </is>
      </c>
      <c r="E16" s="26" t="inlineStr">
        <is>
          <t>Subat. Degradados</t>
        </is>
      </c>
      <c r="F16" s="26" t="inlineStr">
        <is>
          <t>Pneus Condenados</t>
        </is>
      </c>
      <c r="G16" s="26" t="inlineStr">
        <is>
          <t>Status Geral</t>
        </is>
      </c>
    </row>
    <row r="17">
      <c r="A17" s="37" t="inlineStr">
        <is>
          <t>ATV-001</t>
        </is>
      </c>
      <c r="B17" s="37">
        <f>VLOOKUP(A17,ATIVO_PAI!A:H,2,0)</f>
        <v/>
      </c>
      <c r="C17" s="37">
        <f>VLOOKUP(A17,ATIVO_PAI!A:H,7,0)</f>
        <v/>
      </c>
      <c r="D17" s="37">
        <f>COUNTIFS(OCORRENCIAS!B:B,A17,OCORRENCIAS!F:F,"Aberta")</f>
        <v/>
      </c>
      <c r="E17" s="37">
        <f>COUNTIFS(SUBATIVOS!B:B,A17,SUBATIVOS!D:D,"Degradado")</f>
        <v/>
      </c>
      <c r="F17" s="37">
        <f>COUNTIFS(PNEUS!B:B,A17,PNEUS!G:G,"Condenado")</f>
        <v/>
      </c>
      <c r="G17" s="37">
        <f>IF(OR(C17="D",COUNTIFS(SUBATIVOS!B:B,A17,SUBATIVOS!D:D,"Inoperante")&gt;0,F17&gt;0),"Crítico",IF(OR(C17="C",D17&gt;0,E17&gt;0),"Atenção","OK"))</f>
        <v/>
      </c>
    </row>
    <row r="18">
      <c r="A18" s="38" t="inlineStr">
        <is>
          <t>ATV-002</t>
        </is>
      </c>
      <c r="B18" s="38">
        <f>VLOOKUP(A18,ATIVO_PAI!A:H,2,0)</f>
        <v/>
      </c>
      <c r="C18" s="38">
        <f>VLOOKUP(A18,ATIVO_PAI!A:H,7,0)</f>
        <v/>
      </c>
      <c r="D18" s="38">
        <f>COUNTIFS(OCORRENCIAS!B:B,A18,OCORRENCIAS!F:F,"Aberta")</f>
        <v/>
      </c>
      <c r="E18" s="38">
        <f>COUNTIFS(SUBATIVOS!B:B,A18,SUBATIVOS!D:D,"Degradado")</f>
        <v/>
      </c>
      <c r="F18" s="38">
        <f>COUNTIFS(PNEUS!B:B,A18,PNEUS!G:G,"Condenado")</f>
        <v/>
      </c>
      <c r="G18" s="38">
        <f>IF(OR(C18="D",COUNTIFS(SUBATIVOS!B:B,A18,SUBATIVOS!D:D,"Inoperante")&gt;0,F18&gt;0),"Crítico",IF(OR(C18="C",D18&gt;0,E18&gt;0),"Atenção","OK"))</f>
        <v/>
      </c>
    </row>
    <row r="19">
      <c r="A19" s="37" t="inlineStr">
        <is>
          <t>ATV-003</t>
        </is>
      </c>
      <c r="B19" s="37">
        <f>VLOOKUP(A19,ATIVO_PAI!A:H,2,0)</f>
        <v/>
      </c>
      <c r="C19" s="37">
        <f>VLOOKUP(A19,ATIVO_PAI!A:H,7,0)</f>
        <v/>
      </c>
      <c r="D19" s="37">
        <f>COUNTIFS(OCORRENCIAS!B:B,A19,OCORRENCIAS!F:F,"Aberta")</f>
        <v/>
      </c>
      <c r="E19" s="37">
        <f>COUNTIFS(SUBATIVOS!B:B,A19,SUBATIVOS!D:D,"Degradado")</f>
        <v/>
      </c>
      <c r="F19" s="37">
        <f>COUNTIFS(PNEUS!B:B,A19,PNEUS!G:G,"Condenado")</f>
        <v/>
      </c>
      <c r="G19" s="37">
        <f>IF(OR(C19="D",COUNTIFS(SUBATIVOS!B:B,A19,SUBATIVOS!D:D,"Inoperante")&gt;0,F19&gt;0),"Crítico",IF(OR(C19="C",D19&gt;0,E19&gt;0),"Atenção","OK"))</f>
        <v/>
      </c>
    </row>
    <row r="20">
      <c r="A20" s="38" t="inlineStr">
        <is>
          <t>ATV-004</t>
        </is>
      </c>
      <c r="B20" s="38">
        <f>VLOOKUP(A20,ATIVO_PAI!A:H,2,0)</f>
        <v/>
      </c>
      <c r="C20" s="38">
        <f>VLOOKUP(A20,ATIVO_PAI!A:H,7,0)</f>
        <v/>
      </c>
      <c r="D20" s="38">
        <f>COUNTIFS(OCORRENCIAS!B:B,A20,OCORRENCIAS!F:F,"Aberta")</f>
        <v/>
      </c>
      <c r="E20" s="38">
        <f>COUNTIFS(SUBATIVOS!B:B,A20,SUBATIVOS!D:D,"Degradado")</f>
        <v/>
      </c>
      <c r="F20" s="38">
        <f>COUNTIFS(PNEUS!B:B,A20,PNEUS!G:G,"Condenado")</f>
        <v/>
      </c>
      <c r="G20" s="38">
        <f>IF(OR(C20="D",COUNTIFS(SUBATIVOS!B:B,A20,SUBATIVOS!D:D,"Inoperante")&gt;0,F20&gt;0),"Crítico",IF(OR(C20="C",D20&gt;0,E20&gt;0),"Atenção","OK"))</f>
        <v/>
      </c>
    </row>
    <row r="21">
      <c r="A21" s="37" t="inlineStr">
        <is>
          <t>ATV-005</t>
        </is>
      </c>
      <c r="B21" s="37">
        <f>VLOOKUP(A21,ATIVO_PAI!A:H,2,0)</f>
        <v/>
      </c>
      <c r="C21" s="37">
        <f>VLOOKUP(A21,ATIVO_PAI!A:H,7,0)</f>
        <v/>
      </c>
      <c r="D21" s="37">
        <f>COUNTIFS(OCORRENCIAS!B:B,A21,OCORRENCIAS!F:F,"Aberta")</f>
        <v/>
      </c>
      <c r="E21" s="37">
        <f>COUNTIFS(SUBATIVOS!B:B,A21,SUBATIVOS!D:D,"Degradado")</f>
        <v/>
      </c>
      <c r="F21" s="37">
        <f>COUNTIFS(PNEUS!B:B,A21,PNEUS!G:G,"Condenado")</f>
        <v/>
      </c>
      <c r="G21" s="37">
        <f>IF(OR(C21="D",COUNTIFS(SUBATIVOS!B:B,A21,SUBATIVOS!D:D,"Inoperante")&gt;0,F21&gt;0),"Crítico",IF(OR(C21="C",D21&gt;0,E21&gt;0),"Atenção","OK"))</f>
        <v/>
      </c>
    </row>
    <row r="23" ht="24" customHeight="1">
      <c r="A23" s="8" t="inlineStr">
        <is>
          <t>ALERTAS — OCORRÊNCIAS ABERTAS</t>
        </is>
      </c>
    </row>
    <row r="24">
      <c r="A24" s="26" t="inlineStr">
        <is>
          <t>Oco_ID</t>
        </is>
      </c>
      <c r="B24" s="26" t="inlineStr">
        <is>
          <t>Asset_ID</t>
        </is>
      </c>
      <c r="C24" s="26" t="inlineStr">
        <is>
          <t>Placa</t>
        </is>
      </c>
      <c r="D24" s="26" t="inlineStr">
        <is>
          <t>Tipo</t>
        </is>
      </c>
      <c r="E24" s="26" t="inlineStr">
        <is>
          <t>Descrição</t>
        </is>
      </c>
      <c r="F24" s="26" t="inlineStr">
        <is>
          <t>Gravidade</t>
        </is>
      </c>
      <c r="G24" s="26" t="inlineStr">
        <is>
          <t>Status</t>
        </is>
      </c>
    </row>
    <row r="25">
      <c r="A25" s="18" t="inlineStr"/>
      <c r="B25" s="18">
        <f>IF(A25="","",VLOOKUP(A25,OCORRENCIAS!A:B,2,0))</f>
        <v/>
      </c>
      <c r="C25" s="18">
        <f>IF(B25="","",VLOOKUP(B25,ATIVO_PAI!A:B,2,0))</f>
        <v/>
      </c>
      <c r="D25" s="18">
        <f>IF(A25="","",VLOOKUP(A25,OCORRENCIAS!A:C,3,0))</f>
        <v/>
      </c>
      <c r="E25" s="18">
        <f>IF(A25="","",VLOOKUP(A25,OCORRENCIAS!A:D,4,0))</f>
        <v/>
      </c>
      <c r="F25" s="18">
        <f>IF(A25="","",VLOOKUP(A25,OCORRENCIAS!A:E,5,0))</f>
        <v/>
      </c>
      <c r="G25" s="18">
        <f>IF(A25="","",VLOOKUP(A25,OCORRENCIAS!A:F,6,0))</f>
        <v/>
      </c>
    </row>
    <row r="26">
      <c r="A26" s="18" t="inlineStr"/>
      <c r="B26" s="18">
        <f>IF(A26="","",VLOOKUP(A26,OCORRENCIAS!A:B,2,0))</f>
        <v/>
      </c>
      <c r="C26" s="18">
        <f>IF(B26="","",VLOOKUP(B26,ATIVO_PAI!A:B,2,0))</f>
        <v/>
      </c>
      <c r="D26" s="18">
        <f>IF(A26="","",VLOOKUP(A26,OCORRENCIAS!A:C,3,0))</f>
        <v/>
      </c>
      <c r="E26" s="18">
        <f>IF(A26="","",VLOOKUP(A26,OCORRENCIAS!A:D,4,0))</f>
        <v/>
      </c>
      <c r="F26" s="18">
        <f>IF(A26="","",VLOOKUP(A26,OCORRENCIAS!A:E,5,0))</f>
        <v/>
      </c>
      <c r="G26" s="18">
        <f>IF(A26="","",VLOOKUP(A26,OCORRENCIAS!A:F,6,0))</f>
        <v/>
      </c>
    </row>
    <row r="27">
      <c r="A27" s="18" t="inlineStr"/>
      <c r="B27" s="18">
        <f>IF(A27="","",VLOOKUP(A27,OCORRENCIAS!A:B,2,0))</f>
        <v/>
      </c>
      <c r="C27" s="18">
        <f>IF(B27="","",VLOOKUP(B27,ATIVO_PAI!A:B,2,0))</f>
        <v/>
      </c>
      <c r="D27" s="18">
        <f>IF(A27="","",VLOOKUP(A27,OCORRENCIAS!A:C,3,0))</f>
        <v/>
      </c>
      <c r="E27" s="18">
        <f>IF(A27="","",VLOOKUP(A27,OCORRENCIAS!A:D,4,0))</f>
        <v/>
      </c>
      <c r="F27" s="18">
        <f>IF(A27="","",VLOOKUP(A27,OCORRENCIAS!A:E,5,0))</f>
        <v/>
      </c>
      <c r="G27" s="18">
        <f>IF(A27="","",VLOOKUP(A27,OCORRENCIAS!A:F,6,0))</f>
        <v/>
      </c>
    </row>
    <row r="28">
      <c r="A28" s="18" t="inlineStr"/>
      <c r="B28" s="18">
        <f>IF(A28="","",VLOOKUP(A28,OCORRENCIAS!A:B,2,0))</f>
        <v/>
      </c>
      <c r="C28" s="18">
        <f>IF(B28="","",VLOOKUP(B28,ATIVO_PAI!A:B,2,0))</f>
        <v/>
      </c>
      <c r="D28" s="18">
        <f>IF(A28="","",VLOOKUP(A28,OCORRENCIAS!A:C,3,0))</f>
        <v/>
      </c>
      <c r="E28" s="18">
        <f>IF(A28="","",VLOOKUP(A28,OCORRENCIAS!A:D,4,0))</f>
        <v/>
      </c>
      <c r="F28" s="18">
        <f>IF(A28="","",VLOOKUP(A28,OCORRENCIAS!A:E,5,0))</f>
        <v/>
      </c>
      <c r="G28" s="18">
        <f>IF(A28="","",VLOOKUP(A28,OCORRENCIAS!A:F,6,0))</f>
        <v/>
      </c>
    </row>
    <row r="29">
      <c r="A29" s="18" t="inlineStr"/>
      <c r="B29" s="18">
        <f>IF(A29="","",VLOOKUP(A29,OCORRENCIAS!A:B,2,0))</f>
        <v/>
      </c>
      <c r="C29" s="18">
        <f>IF(B29="","",VLOOKUP(B29,ATIVO_PAI!A:B,2,0))</f>
        <v/>
      </c>
      <c r="D29" s="18">
        <f>IF(A29="","",VLOOKUP(A29,OCORRENCIAS!A:C,3,0))</f>
        <v/>
      </c>
      <c r="E29" s="18">
        <f>IF(A29="","",VLOOKUP(A29,OCORRENCIAS!A:D,4,0))</f>
        <v/>
      </c>
      <c r="F29" s="18">
        <f>IF(A29="","",VLOOKUP(A29,OCORRENCIAS!A:E,5,0))</f>
        <v/>
      </c>
      <c r="G29" s="18">
        <f>IF(A29="","",VLOOKUP(A29,OCORRENCIAS!A:F,6,0))</f>
        <v/>
      </c>
    </row>
    <row r="30">
      <c r="A30" s="18" t="inlineStr"/>
      <c r="B30" s="18">
        <f>IF(A30="","",VLOOKUP(A30,OCORRENCIAS!A:B,2,0))</f>
        <v/>
      </c>
      <c r="C30" s="18">
        <f>IF(B30="","",VLOOKUP(B30,ATIVO_PAI!A:B,2,0))</f>
        <v/>
      </c>
      <c r="D30" s="18">
        <f>IF(A30="","",VLOOKUP(A30,OCORRENCIAS!A:C,3,0))</f>
        <v/>
      </c>
      <c r="E30" s="18">
        <f>IF(A30="","",VLOOKUP(A30,OCORRENCIAS!A:D,4,0))</f>
        <v/>
      </c>
      <c r="F30" s="18">
        <f>IF(A30="","",VLOOKUP(A30,OCORRENCIAS!A:E,5,0))</f>
        <v/>
      </c>
      <c r="G30" s="18">
        <f>IF(A30="","",VLOOKUP(A30,OCORRENCIAS!A:F,6,0))</f>
        <v/>
      </c>
    </row>
    <row r="31">
      <c r="A31" s="18" t="inlineStr"/>
      <c r="B31" s="18">
        <f>IF(A31="","",VLOOKUP(A31,OCORRENCIAS!A:B,2,0))</f>
        <v/>
      </c>
      <c r="C31" s="18">
        <f>IF(B31="","",VLOOKUP(B31,ATIVO_PAI!A:B,2,0))</f>
        <v/>
      </c>
      <c r="D31" s="18">
        <f>IF(A31="","",VLOOKUP(A31,OCORRENCIAS!A:C,3,0))</f>
        <v/>
      </c>
      <c r="E31" s="18">
        <f>IF(A31="","",VLOOKUP(A31,OCORRENCIAS!A:D,4,0))</f>
        <v/>
      </c>
      <c r="F31" s="18">
        <f>IF(A31="","",VLOOKUP(A31,OCORRENCIAS!A:E,5,0))</f>
        <v/>
      </c>
      <c r="G31" s="18">
        <f>IF(A31="","",VLOOKUP(A31,OCORRENCIAS!A:F,6,0))</f>
        <v/>
      </c>
    </row>
    <row r="32">
      <c r="A32" s="18" t="inlineStr"/>
      <c r="B32" s="18">
        <f>IF(A32="","",VLOOKUP(A32,OCORRENCIAS!A:B,2,0))</f>
        <v/>
      </c>
      <c r="C32" s="18">
        <f>IF(B32="","",VLOOKUP(B32,ATIVO_PAI!A:B,2,0))</f>
        <v/>
      </c>
      <c r="D32" s="18">
        <f>IF(A32="","",VLOOKUP(A32,OCORRENCIAS!A:C,3,0))</f>
        <v/>
      </c>
      <c r="E32" s="18">
        <f>IF(A32="","",VLOOKUP(A32,OCORRENCIAS!A:D,4,0))</f>
        <v/>
      </c>
      <c r="F32" s="18">
        <f>IF(A32="","",VLOOKUP(A32,OCORRENCIAS!A:E,5,0))</f>
        <v/>
      </c>
      <c r="G32" s="18">
        <f>IF(A32="","",VLOOKUP(A32,OCORRENCIAS!A:F,6,0))</f>
        <v/>
      </c>
    </row>
    <row r="33">
      <c r="A33" s="18" t="inlineStr"/>
      <c r="B33" s="18">
        <f>IF(A33="","",VLOOKUP(A33,OCORRENCIAS!A:B,2,0))</f>
        <v/>
      </c>
      <c r="C33" s="18">
        <f>IF(B33="","",VLOOKUP(B33,ATIVO_PAI!A:B,2,0))</f>
        <v/>
      </c>
      <c r="D33" s="18">
        <f>IF(A33="","",VLOOKUP(A33,OCORRENCIAS!A:C,3,0))</f>
        <v/>
      </c>
      <c r="E33" s="18">
        <f>IF(A33="","",VLOOKUP(A33,OCORRENCIAS!A:D,4,0))</f>
        <v/>
      </c>
      <c r="F33" s="18">
        <f>IF(A33="","",VLOOKUP(A33,OCORRENCIAS!A:E,5,0))</f>
        <v/>
      </c>
      <c r="G33" s="18">
        <f>IF(A33="","",VLOOKUP(A33,OCORRENCIAS!A:F,6,0))</f>
        <v/>
      </c>
    </row>
    <row r="34">
      <c r="A34" s="18" t="inlineStr"/>
      <c r="B34" s="18">
        <f>IF(A34="","",VLOOKUP(A34,OCORRENCIAS!A:B,2,0))</f>
        <v/>
      </c>
      <c r="C34" s="18">
        <f>IF(B34="","",VLOOKUP(B34,ATIVO_PAI!A:B,2,0))</f>
        <v/>
      </c>
      <c r="D34" s="18">
        <f>IF(A34="","",VLOOKUP(A34,OCORRENCIAS!A:C,3,0))</f>
        <v/>
      </c>
      <c r="E34" s="18">
        <f>IF(A34="","",VLOOKUP(A34,OCORRENCIAS!A:D,4,0))</f>
        <v/>
      </c>
      <c r="F34" s="18">
        <f>IF(A34="","",VLOOKUP(A34,OCORRENCIAS!A:E,5,0))</f>
        <v/>
      </c>
      <c r="G34" s="18">
        <f>IF(A34="","",VLOOKUP(A34,OCORRENCIAS!A:F,6,0))</f>
        <v/>
      </c>
    </row>
  </sheetData>
  <mergeCells count="3">
    <mergeCell ref="A23:G23"/>
    <mergeCell ref="A1:G1"/>
    <mergeCell ref="A15:G15"/>
  </mergeCells>
  <conditionalFormatting sqref="G17:G21">
    <cfRule type="cellIs" priority="1" operator="equal" dxfId="7">
      <formula>"Crítico"</formula>
    </cfRule>
    <cfRule type="cellIs" priority="2" operator="equal" dxfId="8">
      <formula>"Atenção"</formula>
    </cfRule>
    <cfRule type="cellIs" priority="3" operator="equal" dxfId="9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14" customWidth="1" min="9" max="9"/>
    <col width="14" customWidth="1" min="10" max="10"/>
  </cols>
  <sheetData>
    <row r="1" ht="22" customHeight="1">
      <c r="A1" s="39" t="inlineStr">
        <is>
          <t>Asset_ID</t>
        </is>
      </c>
      <c r="B1" s="39" t="inlineStr">
        <is>
          <t>Placa</t>
        </is>
      </c>
      <c r="C1" s="39" t="inlineStr">
        <is>
          <t>Tipo</t>
        </is>
      </c>
      <c r="D1" s="39" t="inlineStr">
        <is>
          <t>Proprio_Locado</t>
        </is>
      </c>
      <c r="E1" s="39" t="inlineStr">
        <is>
          <t>Locador</t>
        </is>
      </c>
      <c r="F1" s="39" t="inlineStr">
        <is>
          <t>Km/Horimetro</t>
        </is>
      </c>
      <c r="G1" s="39" t="inlineStr">
        <is>
          <t>Classificacao</t>
        </is>
      </c>
      <c r="H1" s="39" t="inlineStr">
        <is>
          <t>Data_Inspecao</t>
        </is>
      </c>
    </row>
    <row r="2">
      <c r="A2" t="inlineStr">
        <is>
          <t>ATV-001</t>
        </is>
      </c>
      <c r="B2" t="inlineStr">
        <is>
          <t>ABC1D23</t>
        </is>
      </c>
      <c r="C2" t="inlineStr">
        <is>
          <t>Cavalo</t>
        </is>
      </c>
      <c r="D2" t="inlineStr">
        <is>
          <t>Locado</t>
        </is>
      </c>
      <c r="E2" t="inlineStr">
        <is>
          <t>Locadora X</t>
        </is>
      </c>
      <c r="F2" t="n">
        <v>152340</v>
      </c>
      <c r="G2" t="inlineStr">
        <is>
          <t>B</t>
        </is>
      </c>
      <c r="H2" t="inlineStr">
        <is>
          <t>2026-09-28</t>
        </is>
      </c>
    </row>
    <row r="3">
      <c r="A3" t="inlineStr">
        <is>
          <t>ATV-002</t>
        </is>
      </c>
      <c r="B3" t="inlineStr">
        <is>
          <t>DEF4G56</t>
        </is>
      </c>
      <c r="C3" t="inlineStr">
        <is>
          <t>Carreta</t>
        </is>
      </c>
      <c r="D3" t="inlineStr">
        <is>
          <t>Próprio</t>
        </is>
      </c>
      <c r="E3" t="inlineStr"/>
      <c r="F3" t="n">
        <v>82300</v>
      </c>
      <c r="G3" t="inlineStr">
        <is>
          <t>A</t>
        </is>
      </c>
      <c r="H3" t="inlineStr">
        <is>
          <t>2026-09-28</t>
        </is>
      </c>
    </row>
    <row r="4">
      <c r="A4" t="inlineStr">
        <is>
          <t>ATV-003</t>
        </is>
      </c>
      <c r="B4" t="inlineStr">
        <is>
          <t>GHI7J89</t>
        </is>
      </c>
      <c r="C4" t="inlineStr">
        <is>
          <t>Van</t>
        </is>
      </c>
      <c r="D4" t="inlineStr">
        <is>
          <t>Locado</t>
        </is>
      </c>
      <c r="E4" t="inlineStr">
        <is>
          <t>Locadora Y</t>
        </is>
      </c>
      <c r="F4" t="n">
        <v>98750</v>
      </c>
      <c r="G4" t="inlineStr">
        <is>
          <t>C</t>
        </is>
      </c>
      <c r="H4" t="inlineStr">
        <is>
          <t>2026-09-27</t>
        </is>
      </c>
    </row>
    <row r="5">
      <c r="A5" t="inlineStr">
        <is>
          <t>ATV-004</t>
        </is>
      </c>
      <c r="B5" t="inlineStr">
        <is>
          <t>JKL0M12</t>
        </is>
      </c>
      <c r="C5" t="inlineStr">
        <is>
          <t>Gerador</t>
        </is>
      </c>
      <c r="D5" t="inlineStr">
        <is>
          <t>Próprio</t>
        </is>
      </c>
      <c r="E5" t="inlineStr"/>
      <c r="F5" t="n">
        <v>4200</v>
      </c>
      <c r="G5" t="inlineStr">
        <is>
          <t>D</t>
        </is>
      </c>
      <c r="H5" t="inlineStr">
        <is>
          <t>2026-09-26</t>
        </is>
      </c>
    </row>
    <row r="6">
      <c r="A6" t="inlineStr">
        <is>
          <t>ATV-005</t>
        </is>
      </c>
      <c r="B6" t="inlineStr">
        <is>
          <t>MNO3P45</t>
        </is>
      </c>
      <c r="C6" t="inlineStr">
        <is>
          <t>Moto</t>
        </is>
      </c>
      <c r="D6" t="inlineStr">
        <is>
          <t>Próprio</t>
        </is>
      </c>
      <c r="E6" t="inlineStr"/>
      <c r="F6" t="n">
        <v>18400</v>
      </c>
      <c r="G6" t="inlineStr">
        <is>
          <t>A</t>
        </is>
      </c>
      <c r="H6" t="inlineStr">
        <is>
          <t>2026-09-25</t>
        </is>
      </c>
    </row>
  </sheetData>
  <autoFilter ref="A1:H200"/>
  <dataValidations count="3">
    <dataValidation sqref="C2:C500" showDropDown="0" showInputMessage="0" showErrorMessage="1" allowBlank="1" errorTitle="Valor inválido" error="Escolha um valor da lista." type="list">
      <formula1>"Cavalo,Carreta,Van,Utilitário,Moto,Gerador,Equipamento"</formula1>
    </dataValidation>
    <dataValidation sqref="D2:D500" showDropDown="0" showInputMessage="0" showErrorMessage="1" allowBlank="1" errorTitle="Valor inválido" error="Escolha um valor da lista." type="list">
      <formula1>"Próprio,Locado"</formula1>
    </dataValidation>
    <dataValidation sqref="G2:G500" showDropDown="0" showInputMessage="0" showErrorMessage="1" allowBlank="1" errorTitle="Valor inválido" error="Escolha um valor da lista." type="list">
      <formula1>"A,B,C,D"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hidden="1" width="22" customWidth="1" min="8" max="8"/>
    <col width="14" customWidth="1" min="9" max="9"/>
    <col width="14" customWidth="1" min="10" max="10"/>
  </cols>
  <sheetData>
    <row r="1" ht="22" customHeight="1">
      <c r="A1" s="39" t="inlineStr">
        <is>
          <t>Sub_ID</t>
        </is>
      </c>
      <c r="B1" s="39" t="inlineStr">
        <is>
          <t>Asset_ID</t>
        </is>
      </c>
      <c r="C1" s="39" t="inlineStr">
        <is>
          <t>Nome</t>
        </is>
      </c>
      <c r="D1" s="39" t="inlineStr">
        <is>
          <t>Estado</t>
        </is>
      </c>
      <c r="E1" s="39" t="inlineStr">
        <is>
          <t>Classificacao</t>
        </is>
      </c>
      <c r="F1" s="39" t="inlineStr">
        <is>
          <t>Acao</t>
        </is>
      </c>
      <c r="G1" s="39" t="inlineStr">
        <is>
          <t>Prioridade</t>
        </is>
      </c>
      <c r="H1" s="39" t="n"/>
    </row>
    <row r="2">
      <c r="A2" t="inlineStr">
        <is>
          <t>SUB-001</t>
        </is>
      </c>
      <c r="B2" t="inlineStr">
        <is>
          <t>ATV-001</t>
        </is>
      </c>
      <c r="C2" t="inlineStr">
        <is>
          <t>Motor</t>
        </is>
      </c>
      <c r="D2" t="inlineStr">
        <is>
          <t>Funcional</t>
        </is>
      </c>
      <c r="E2" t="inlineStr">
        <is>
          <t>A</t>
        </is>
      </c>
      <c r="F2" t="inlineStr">
        <is>
          <t>Nenhuma</t>
        </is>
      </c>
      <c r="G2" t="inlineStr">
        <is>
          <t>Baixa</t>
        </is>
      </c>
      <c r="H2">
        <f>IF(OR($B2="",$B2&lt;&gt;PASSAPORTE!$B$4),"",COUNTIF($B$2:$B2,PASSAPORTE!$B$4))</f>
        <v/>
      </c>
    </row>
    <row r="3">
      <c r="A3" t="inlineStr">
        <is>
          <t>SUB-002</t>
        </is>
      </c>
      <c r="B3" t="inlineStr">
        <is>
          <t>ATV-001</t>
        </is>
      </c>
      <c r="C3" t="inlineStr">
        <is>
          <t>Câmbio</t>
        </is>
      </c>
      <c r="D3" t="inlineStr">
        <is>
          <t>Funcional</t>
        </is>
      </c>
      <c r="E3" t="inlineStr">
        <is>
          <t>A</t>
        </is>
      </c>
      <c r="F3" t="inlineStr">
        <is>
          <t>Nenhuma</t>
        </is>
      </c>
      <c r="G3" t="inlineStr">
        <is>
          <t>Baixa</t>
        </is>
      </c>
      <c r="H3">
        <f>IF(OR($B3="",$B3&lt;&gt;PASSAPORTE!$B$4),"",COUNTIF($B$2:$B3,PASSAPORTE!$B$4))</f>
        <v/>
      </c>
    </row>
    <row r="4">
      <c r="A4" t="inlineStr">
        <is>
          <t>SUB-003</t>
        </is>
      </c>
      <c r="B4" t="inlineStr">
        <is>
          <t>ATV-001</t>
        </is>
      </c>
      <c r="C4" t="inlineStr">
        <is>
          <t>Freios</t>
        </is>
      </c>
      <c r="D4" t="inlineStr">
        <is>
          <t>Degradado</t>
        </is>
      </c>
      <c r="E4" t="inlineStr">
        <is>
          <t>B</t>
        </is>
      </c>
      <c r="F4" t="inlineStr">
        <is>
          <t>Trocar pastilhas</t>
        </is>
      </c>
      <c r="G4" t="inlineStr">
        <is>
          <t>Média</t>
        </is>
      </c>
      <c r="H4">
        <f>IF(OR($B4="",$B4&lt;&gt;PASSAPORTE!$B$4),"",COUNTIF($B$2:$B4,PASSAPORTE!$B$4))</f>
        <v/>
      </c>
    </row>
    <row r="5">
      <c r="A5" t="inlineStr">
        <is>
          <t>SUB-004</t>
        </is>
      </c>
      <c r="B5" t="inlineStr">
        <is>
          <t>ATV-002</t>
        </is>
      </c>
      <c r="C5" t="inlineStr">
        <is>
          <t>Motor</t>
        </is>
      </c>
      <c r="D5" t="inlineStr">
        <is>
          <t>Funcional</t>
        </is>
      </c>
      <c r="E5" t="inlineStr">
        <is>
          <t>A</t>
        </is>
      </c>
      <c r="F5" t="inlineStr">
        <is>
          <t>Nenhuma</t>
        </is>
      </c>
      <c r="G5" t="inlineStr">
        <is>
          <t>Baixa</t>
        </is>
      </c>
      <c r="H5">
        <f>IF(OR($B5="",$B5&lt;&gt;PASSAPORTE!$B$4),"",COUNTIF($B$2:$B5,PASSAPORTE!$B$4))</f>
        <v/>
      </c>
    </row>
    <row r="6">
      <c r="A6" t="inlineStr">
        <is>
          <t>SUB-005</t>
        </is>
      </c>
      <c r="B6" t="inlineStr">
        <is>
          <t>ATV-002</t>
        </is>
      </c>
      <c r="C6" t="inlineStr">
        <is>
          <t>Câmbio</t>
        </is>
      </c>
      <c r="D6" t="inlineStr">
        <is>
          <t>Funcional</t>
        </is>
      </c>
      <c r="E6" t="inlineStr">
        <is>
          <t>A</t>
        </is>
      </c>
      <c r="F6" t="inlineStr">
        <is>
          <t>Nenhuma</t>
        </is>
      </c>
      <c r="G6" t="inlineStr">
        <is>
          <t>Baixa</t>
        </is>
      </c>
      <c r="H6">
        <f>IF(OR($B6="",$B6&lt;&gt;PASSAPORTE!$B$4),"",COUNTIF($B$2:$B6,PASSAPORTE!$B$4))</f>
        <v/>
      </c>
    </row>
    <row r="7">
      <c r="A7" t="inlineStr">
        <is>
          <t>SUB-006</t>
        </is>
      </c>
      <c r="B7" t="inlineStr">
        <is>
          <t>ATV-002</t>
        </is>
      </c>
      <c r="C7" t="inlineStr">
        <is>
          <t>Suspensão</t>
        </is>
      </c>
      <c r="D7" t="inlineStr">
        <is>
          <t>Funcional</t>
        </is>
      </c>
      <c r="E7" t="inlineStr">
        <is>
          <t>A</t>
        </is>
      </c>
      <c r="F7" t="inlineStr">
        <is>
          <t>Nenhuma</t>
        </is>
      </c>
      <c r="G7" t="inlineStr">
        <is>
          <t>Baixa</t>
        </is>
      </c>
      <c r="H7">
        <f>IF(OR($B7="",$B7&lt;&gt;PASSAPORTE!$B$4),"",COUNTIF($B$2:$B7,PASSAPORTE!$B$4))</f>
        <v/>
      </c>
    </row>
    <row r="8">
      <c r="A8" t="inlineStr">
        <is>
          <t>SUB-007</t>
        </is>
      </c>
      <c r="B8" t="inlineStr">
        <is>
          <t>ATV-003</t>
        </is>
      </c>
      <c r="C8" t="inlineStr">
        <is>
          <t>Motor</t>
        </is>
      </c>
      <c r="D8" t="inlineStr">
        <is>
          <t>Degradado</t>
        </is>
      </c>
      <c r="E8" t="inlineStr">
        <is>
          <t>B</t>
        </is>
      </c>
      <c r="F8" t="inlineStr">
        <is>
          <t>Revisar injeção</t>
        </is>
      </c>
      <c r="G8" t="inlineStr">
        <is>
          <t>Média</t>
        </is>
      </c>
      <c r="H8">
        <f>IF(OR($B8="",$B8&lt;&gt;PASSAPORTE!$B$4),"",COUNTIF($B$2:$B8,PASSAPORTE!$B$4))</f>
        <v/>
      </c>
    </row>
    <row r="9">
      <c r="A9" t="inlineStr">
        <is>
          <t>SUB-008</t>
        </is>
      </c>
      <c r="B9" t="inlineStr">
        <is>
          <t>ATV-003</t>
        </is>
      </c>
      <c r="C9" t="inlineStr">
        <is>
          <t>Freios</t>
        </is>
      </c>
      <c r="D9" t="inlineStr">
        <is>
          <t>Degradado</t>
        </is>
      </c>
      <c r="E9" t="inlineStr">
        <is>
          <t>C</t>
        </is>
      </c>
      <c r="F9" t="inlineStr">
        <is>
          <t>Trocar discos</t>
        </is>
      </c>
      <c r="G9" t="inlineStr">
        <is>
          <t>Alta</t>
        </is>
      </c>
      <c r="H9">
        <f>IF(OR($B9="",$B9&lt;&gt;PASSAPORTE!$B$4),"",COUNTIF($B$2:$B9,PASSAPORTE!$B$4))</f>
        <v/>
      </c>
    </row>
    <row r="10">
      <c r="A10" t="inlineStr">
        <is>
          <t>SUB-009</t>
        </is>
      </c>
      <c r="B10" t="inlineStr">
        <is>
          <t>ATV-003</t>
        </is>
      </c>
      <c r="C10" t="inlineStr">
        <is>
          <t>Elétrica</t>
        </is>
      </c>
      <c r="D10" t="inlineStr">
        <is>
          <t>Funcional</t>
        </is>
      </c>
      <c r="E10" t="inlineStr">
        <is>
          <t>A</t>
        </is>
      </c>
      <c r="F10" t="inlineStr">
        <is>
          <t>Nenhuma</t>
        </is>
      </c>
      <c r="G10" t="inlineStr">
        <is>
          <t>Baixa</t>
        </is>
      </c>
      <c r="H10">
        <f>IF(OR($B10="",$B10&lt;&gt;PASSAPORTE!$B$4),"",COUNTIF($B$2:$B10,PASSAPORTE!$B$4))</f>
        <v/>
      </c>
    </row>
    <row r="11">
      <c r="A11" t="inlineStr">
        <is>
          <t>SUB-010</t>
        </is>
      </c>
      <c r="B11" t="inlineStr">
        <is>
          <t>ATV-004</t>
        </is>
      </c>
      <c r="C11" t="inlineStr">
        <is>
          <t>Motor</t>
        </is>
      </c>
      <c r="D11" t="inlineStr">
        <is>
          <t>Inoperante</t>
        </is>
      </c>
      <c r="E11" t="inlineStr">
        <is>
          <t>D</t>
        </is>
      </c>
      <c r="F11" t="inlineStr">
        <is>
          <t>Diagnóstico urgente</t>
        </is>
      </c>
      <c r="G11" t="inlineStr">
        <is>
          <t>Alta</t>
        </is>
      </c>
      <c r="H11">
        <f>IF(OR($B11="",$B11&lt;&gt;PASSAPORTE!$B$4),"",COUNTIF($B$2:$B11,PASSAPORTE!$B$4))</f>
        <v/>
      </c>
    </row>
    <row r="12">
      <c r="A12" t="inlineStr">
        <is>
          <t>SUB-011</t>
        </is>
      </c>
      <c r="B12" t="inlineStr">
        <is>
          <t>ATV-004</t>
        </is>
      </c>
      <c r="C12" t="inlineStr">
        <is>
          <t>Bateria</t>
        </is>
      </c>
      <c r="D12" t="inlineStr">
        <is>
          <t>Inoperante</t>
        </is>
      </c>
      <c r="E12" t="inlineStr">
        <is>
          <t>D</t>
        </is>
      </c>
      <c r="F12" t="inlineStr">
        <is>
          <t>Substituir</t>
        </is>
      </c>
      <c r="G12" t="inlineStr">
        <is>
          <t>Alta</t>
        </is>
      </c>
      <c r="H12">
        <f>IF(OR($B12="",$B12&lt;&gt;PASSAPORTE!$B$4),"",COUNTIF($B$2:$B12,PASSAPORTE!$B$4))</f>
        <v/>
      </c>
    </row>
    <row r="13">
      <c r="A13" t="inlineStr">
        <is>
          <t>SUB-012</t>
        </is>
      </c>
      <c r="B13" t="inlineStr">
        <is>
          <t>ATV-004</t>
        </is>
      </c>
      <c r="C13" t="inlineStr">
        <is>
          <t>Alternador</t>
        </is>
      </c>
      <c r="D13" t="inlineStr">
        <is>
          <t>Degradado</t>
        </is>
      </c>
      <c r="E13" t="inlineStr">
        <is>
          <t>C</t>
        </is>
      </c>
      <c r="F13" t="inlineStr">
        <is>
          <t>Revisar</t>
        </is>
      </c>
      <c r="G13" t="inlineStr">
        <is>
          <t>Alta</t>
        </is>
      </c>
      <c r="H13">
        <f>IF(OR($B13="",$B13&lt;&gt;PASSAPORTE!$B$4),"",COUNTIF($B$2:$B13,PASSAPORTE!$B$4))</f>
        <v/>
      </c>
    </row>
    <row r="14">
      <c r="A14" t="inlineStr">
        <is>
          <t>SUB-013</t>
        </is>
      </c>
      <c r="B14" t="inlineStr">
        <is>
          <t>ATV-005</t>
        </is>
      </c>
      <c r="C14" t="inlineStr">
        <is>
          <t>Motor</t>
        </is>
      </c>
      <c r="D14" t="inlineStr">
        <is>
          <t>Funcional</t>
        </is>
      </c>
      <c r="E14" t="inlineStr">
        <is>
          <t>A</t>
        </is>
      </c>
      <c r="F14" t="inlineStr">
        <is>
          <t>Nenhuma</t>
        </is>
      </c>
      <c r="G14" t="inlineStr">
        <is>
          <t>Baixa</t>
        </is>
      </c>
      <c r="H14">
        <f>IF(OR($B14="",$B14&lt;&gt;PASSAPORTE!$B$4),"",COUNTIF($B$2:$B14,PASSAPORTE!$B$4))</f>
        <v/>
      </c>
    </row>
    <row r="15">
      <c r="A15" t="inlineStr">
        <is>
          <t>SUB-014</t>
        </is>
      </c>
      <c r="B15" t="inlineStr">
        <is>
          <t>ATV-005</t>
        </is>
      </c>
      <c r="C15" t="inlineStr">
        <is>
          <t>Freios</t>
        </is>
      </c>
      <c r="D15" t="inlineStr">
        <is>
          <t>Funcional</t>
        </is>
      </c>
      <c r="E15" t="inlineStr">
        <is>
          <t>A</t>
        </is>
      </c>
      <c r="F15" t="inlineStr">
        <is>
          <t>Nenhuma</t>
        </is>
      </c>
      <c r="G15" t="inlineStr">
        <is>
          <t>Baixa</t>
        </is>
      </c>
      <c r="H15">
        <f>IF(OR($B15="",$B15&lt;&gt;PASSAPORTE!$B$4),"",COUNTIF($B$2:$B15,PASSAPORTE!$B$4))</f>
        <v/>
      </c>
    </row>
    <row r="16">
      <c r="A16" t="inlineStr">
        <is>
          <t>SUB-015</t>
        </is>
      </c>
      <c r="B16" t="inlineStr">
        <is>
          <t>ATV-005</t>
        </is>
      </c>
      <c r="C16" t="inlineStr">
        <is>
          <t>Pneus</t>
        </is>
      </c>
      <c r="D16" t="inlineStr">
        <is>
          <t>Funcional</t>
        </is>
      </c>
      <c r="E16" t="inlineStr">
        <is>
          <t>A</t>
        </is>
      </c>
      <c r="F16" t="inlineStr">
        <is>
          <t>Nenhuma</t>
        </is>
      </c>
      <c r="G16" t="inlineStr">
        <is>
          <t>Baixa</t>
        </is>
      </c>
      <c r="H16">
        <f>IF(OR($B16="",$B16&lt;&gt;PASSAPORTE!$B$4),"",COUNTIF($B$2:$B16,PASSAPORTE!$B$4))</f>
        <v/>
      </c>
    </row>
  </sheetData>
  <autoFilter ref="A1:G200"/>
  <dataValidations count="3">
    <dataValidation sqref="D2:D500" showDropDown="0" showInputMessage="0" showErrorMessage="1" allowBlank="1" errorTitle="Valor inválido" error="Escolha um valor da lista." type="list">
      <formula1>"Funcional,Degradado,Inoperante"</formula1>
    </dataValidation>
    <dataValidation sqref="E2:E500" showDropDown="0" showInputMessage="0" showErrorMessage="1" allowBlank="1" errorTitle="Valor inválido" error="Escolha um valor da lista." type="list">
      <formula1>"A,B,C,D"</formula1>
    </dataValidation>
    <dataValidation sqref="G2:G500" showDropDown="0" showInputMessage="0" showErrorMessage="1" allowBlank="1" errorTitle="Valor inválido" error="Escolha um valor da lista." type="list">
      <formula1>"Baixa,Média,Alta"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hidden="1" width="22" customWidth="1" min="8" max="8"/>
    <col width="14" customWidth="1" min="9" max="9"/>
    <col width="14" customWidth="1" min="10" max="10"/>
  </cols>
  <sheetData>
    <row r="1" ht="22" customHeight="1">
      <c r="A1" s="39" t="inlineStr">
        <is>
          <t>Pneu_ID</t>
        </is>
      </c>
      <c r="B1" s="39" t="inlineStr">
        <is>
          <t>Asset_ID</t>
        </is>
      </c>
      <c r="C1" s="39" t="inlineStr">
        <is>
          <t>Posicao</t>
        </is>
      </c>
      <c r="D1" s="39" t="inlineStr">
        <is>
          <t>Marca</t>
        </is>
      </c>
      <c r="E1" s="39" t="inlineStr">
        <is>
          <t>Medida</t>
        </is>
      </c>
      <c r="F1" s="39" t="inlineStr">
        <is>
          <t>Sulco</t>
        </is>
      </c>
      <c r="G1" s="39" t="inlineStr">
        <is>
          <t>Status</t>
        </is>
      </c>
      <c r="H1" s="39" t="n"/>
    </row>
    <row r="2">
      <c r="A2" t="inlineStr">
        <is>
          <t>PNE-001</t>
        </is>
      </c>
      <c r="B2" t="inlineStr">
        <is>
          <t>ATV-001</t>
        </is>
      </c>
      <c r="C2" t="inlineStr">
        <is>
          <t>1E</t>
        </is>
      </c>
      <c r="D2" t="inlineStr">
        <is>
          <t>Michelin</t>
        </is>
      </c>
      <c r="E2" t="inlineStr">
        <is>
          <t>295/80</t>
        </is>
      </c>
      <c r="F2" t="n">
        <v>8</v>
      </c>
      <c r="G2" t="inlineStr">
        <is>
          <t>Instalado</t>
        </is>
      </c>
      <c r="H2">
        <f>IF(OR($B2="",$B2&lt;&gt;PASSAPORTE!$B$4),"",COUNTIF($B$2:$B2,PASSAPORTE!$B$4))</f>
        <v/>
      </c>
    </row>
    <row r="3">
      <c r="A3" t="inlineStr">
        <is>
          <t>PNE-002</t>
        </is>
      </c>
      <c r="B3" t="inlineStr">
        <is>
          <t>ATV-001</t>
        </is>
      </c>
      <c r="C3" t="inlineStr">
        <is>
          <t>1D</t>
        </is>
      </c>
      <c r="D3" t="inlineStr">
        <is>
          <t>Michelin</t>
        </is>
      </c>
      <c r="E3" t="inlineStr">
        <is>
          <t>295/80</t>
        </is>
      </c>
      <c r="F3" t="n">
        <v>7</v>
      </c>
      <c r="G3" t="inlineStr">
        <is>
          <t>Instalado</t>
        </is>
      </c>
      <c r="H3">
        <f>IF(OR($B3="",$B3&lt;&gt;PASSAPORTE!$B$4),"",COUNTIF($B$2:$B3,PASSAPORTE!$B$4))</f>
        <v/>
      </c>
    </row>
    <row r="4">
      <c r="A4" t="inlineStr">
        <is>
          <t>PNE-003</t>
        </is>
      </c>
      <c r="B4" t="inlineStr">
        <is>
          <t>ATV-001</t>
        </is>
      </c>
      <c r="C4" t="inlineStr">
        <is>
          <t>2E</t>
        </is>
      </c>
      <c r="D4" t="inlineStr">
        <is>
          <t>Michelin</t>
        </is>
      </c>
      <c r="E4" t="inlineStr">
        <is>
          <t>295/80</t>
        </is>
      </c>
      <c r="F4" t="n">
        <v>6</v>
      </c>
      <c r="G4" t="inlineStr">
        <is>
          <t>Instalado</t>
        </is>
      </c>
      <c r="H4">
        <f>IF(OR($B4="",$B4&lt;&gt;PASSAPORTE!$B$4),"",COUNTIF($B$2:$B4,PASSAPORTE!$B$4))</f>
        <v/>
      </c>
    </row>
    <row r="5">
      <c r="A5" t="inlineStr">
        <is>
          <t>PNE-004</t>
        </is>
      </c>
      <c r="B5" t="inlineStr">
        <is>
          <t>ATV-001</t>
        </is>
      </c>
      <c r="C5" t="inlineStr">
        <is>
          <t>2D</t>
        </is>
      </c>
      <c r="D5" t="inlineStr">
        <is>
          <t>Michelin</t>
        </is>
      </c>
      <c r="E5" t="inlineStr">
        <is>
          <t>295/80</t>
        </is>
      </c>
      <c r="F5" t="n">
        <v>6</v>
      </c>
      <c r="G5" t="inlineStr">
        <is>
          <t>Instalado</t>
        </is>
      </c>
      <c r="H5">
        <f>IF(OR($B5="",$B5&lt;&gt;PASSAPORTE!$B$4),"",COUNTIF($B$2:$B5,PASSAPORTE!$B$4))</f>
        <v/>
      </c>
    </row>
    <row r="6">
      <c r="A6" t="inlineStr">
        <is>
          <t>PNE-005</t>
        </is>
      </c>
      <c r="B6" t="inlineStr">
        <is>
          <t>ATV-001</t>
        </is>
      </c>
      <c r="C6" t="inlineStr">
        <is>
          <t>3E</t>
        </is>
      </c>
      <c r="D6" t="inlineStr">
        <is>
          <t>Bridgestone</t>
        </is>
      </c>
      <c r="E6" t="inlineStr">
        <is>
          <t>295/80</t>
        </is>
      </c>
      <c r="F6" t="n">
        <v>4</v>
      </c>
      <c r="G6" t="inlineStr">
        <is>
          <t>Instalado</t>
        </is>
      </c>
      <c r="H6">
        <f>IF(OR($B6="",$B6&lt;&gt;PASSAPORTE!$B$4),"",COUNTIF($B$2:$B6,PASSAPORTE!$B$4))</f>
        <v/>
      </c>
    </row>
    <row r="7">
      <c r="A7" t="inlineStr">
        <is>
          <t>PNE-006</t>
        </is>
      </c>
      <c r="B7" t="inlineStr">
        <is>
          <t>ATV-001</t>
        </is>
      </c>
      <c r="C7" t="inlineStr">
        <is>
          <t>3D</t>
        </is>
      </c>
      <c r="D7" t="inlineStr">
        <is>
          <t>Bridgestone</t>
        </is>
      </c>
      <c r="E7" t="inlineStr">
        <is>
          <t>295/80</t>
        </is>
      </c>
      <c r="F7" t="n">
        <v>3</v>
      </c>
      <c r="G7" t="inlineStr">
        <is>
          <t>Instalado</t>
        </is>
      </c>
      <c r="H7">
        <f>IF(OR($B7="",$B7&lt;&gt;PASSAPORTE!$B$4),"",COUNTIF($B$2:$B7,PASSAPORTE!$B$4))</f>
        <v/>
      </c>
    </row>
    <row r="8">
      <c r="A8" t="inlineStr">
        <is>
          <t>PNE-007</t>
        </is>
      </c>
      <c r="B8" t="inlineStr">
        <is>
          <t>ATV-002</t>
        </is>
      </c>
      <c r="C8" t="inlineStr">
        <is>
          <t>1E</t>
        </is>
      </c>
      <c r="D8" t="inlineStr">
        <is>
          <t>Pirelli</t>
        </is>
      </c>
      <c r="E8" t="inlineStr">
        <is>
          <t>295/80</t>
        </is>
      </c>
      <c r="F8" t="n">
        <v>9</v>
      </c>
      <c r="G8" t="inlineStr">
        <is>
          <t>Instalado</t>
        </is>
      </c>
      <c r="H8">
        <f>IF(OR($B8="",$B8&lt;&gt;PASSAPORTE!$B$4),"",COUNTIF($B$2:$B8,PASSAPORTE!$B$4))</f>
        <v/>
      </c>
    </row>
    <row r="9">
      <c r="A9" t="inlineStr">
        <is>
          <t>PNE-008</t>
        </is>
      </c>
      <c r="B9" t="inlineStr">
        <is>
          <t>ATV-002</t>
        </is>
      </c>
      <c r="C9" t="inlineStr">
        <is>
          <t>1D</t>
        </is>
      </c>
      <c r="D9" t="inlineStr">
        <is>
          <t>Pirelli</t>
        </is>
      </c>
      <c r="E9" t="inlineStr">
        <is>
          <t>295/80</t>
        </is>
      </c>
      <c r="F9" t="n">
        <v>9</v>
      </c>
      <c r="G9" t="inlineStr">
        <is>
          <t>Instalado</t>
        </is>
      </c>
      <c r="H9">
        <f>IF(OR($B9="",$B9&lt;&gt;PASSAPORTE!$B$4),"",COUNTIF($B$2:$B9,PASSAPORTE!$B$4))</f>
        <v/>
      </c>
    </row>
    <row r="10">
      <c r="A10" t="inlineStr">
        <is>
          <t>PNE-009</t>
        </is>
      </c>
      <c r="B10" t="inlineStr">
        <is>
          <t>ATV-002</t>
        </is>
      </c>
      <c r="C10" t="inlineStr">
        <is>
          <t>2E</t>
        </is>
      </c>
      <c r="D10" t="inlineStr">
        <is>
          <t>Pirelli</t>
        </is>
      </c>
      <c r="E10" t="inlineStr">
        <is>
          <t>295/80</t>
        </is>
      </c>
      <c r="F10" t="n">
        <v>8</v>
      </c>
      <c r="G10" t="inlineStr">
        <is>
          <t>Instalado</t>
        </is>
      </c>
      <c r="H10">
        <f>IF(OR($B10="",$B10&lt;&gt;PASSAPORTE!$B$4),"",COUNTIF($B$2:$B10,PASSAPORTE!$B$4))</f>
        <v/>
      </c>
    </row>
    <row r="11">
      <c r="A11" t="inlineStr">
        <is>
          <t>PNE-010</t>
        </is>
      </c>
      <c r="B11" t="inlineStr">
        <is>
          <t>ATV-002</t>
        </is>
      </c>
      <c r="C11" t="inlineStr">
        <is>
          <t>2D</t>
        </is>
      </c>
      <c r="D11" t="inlineStr">
        <is>
          <t>Pirelli</t>
        </is>
      </c>
      <c r="E11" t="inlineStr">
        <is>
          <t>295/80</t>
        </is>
      </c>
      <c r="F11" t="n">
        <v>8</v>
      </c>
      <c r="G11" t="inlineStr">
        <is>
          <t>Instalado</t>
        </is>
      </c>
      <c r="H11">
        <f>IF(OR($B11="",$B11&lt;&gt;PASSAPORTE!$B$4),"",COUNTIF($B$2:$B11,PASSAPORTE!$B$4))</f>
        <v/>
      </c>
    </row>
    <row r="12">
      <c r="A12" t="inlineStr">
        <is>
          <t>PNE-011</t>
        </is>
      </c>
      <c r="B12" t="inlineStr">
        <is>
          <t>ATV-003</t>
        </is>
      </c>
      <c r="C12" t="inlineStr">
        <is>
          <t>1E</t>
        </is>
      </c>
      <c r="D12" t="inlineStr">
        <is>
          <t>Goodyear</t>
        </is>
      </c>
      <c r="E12" t="inlineStr">
        <is>
          <t>225/75</t>
        </is>
      </c>
      <c r="F12" t="n">
        <v>6</v>
      </c>
      <c r="G12" t="inlineStr">
        <is>
          <t>Instalado</t>
        </is>
      </c>
      <c r="H12">
        <f>IF(OR($B12="",$B12&lt;&gt;PASSAPORTE!$B$4),"",COUNTIF($B$2:$B12,PASSAPORTE!$B$4))</f>
        <v/>
      </c>
    </row>
    <row r="13">
      <c r="A13" t="inlineStr">
        <is>
          <t>PNE-012</t>
        </is>
      </c>
      <c r="B13" t="inlineStr">
        <is>
          <t>ATV-003</t>
        </is>
      </c>
      <c r="C13" t="inlineStr">
        <is>
          <t>1D</t>
        </is>
      </c>
      <c r="D13" t="inlineStr">
        <is>
          <t>Goodyear</t>
        </is>
      </c>
      <c r="E13" t="inlineStr">
        <is>
          <t>225/75</t>
        </is>
      </c>
      <c r="F13" t="n">
        <v>5</v>
      </c>
      <c r="G13" t="inlineStr">
        <is>
          <t>Instalado</t>
        </is>
      </c>
      <c r="H13">
        <f>IF(OR($B13="",$B13&lt;&gt;PASSAPORTE!$B$4),"",COUNTIF($B$2:$B13,PASSAPORTE!$B$4))</f>
        <v/>
      </c>
    </row>
    <row r="14">
      <c r="A14" t="inlineStr">
        <is>
          <t>PNE-013</t>
        </is>
      </c>
      <c r="B14" t="inlineStr">
        <is>
          <t>ATV-003</t>
        </is>
      </c>
      <c r="C14" t="inlineStr">
        <is>
          <t>2E</t>
        </is>
      </c>
      <c r="D14" t="inlineStr">
        <is>
          <t>Goodyear</t>
        </is>
      </c>
      <c r="E14" t="inlineStr">
        <is>
          <t>225/75</t>
        </is>
      </c>
      <c r="F14" t="n">
        <v>2</v>
      </c>
      <c r="G14" t="inlineStr">
        <is>
          <t>Condenado</t>
        </is>
      </c>
      <c r="H14">
        <f>IF(OR($B14="",$B14&lt;&gt;PASSAPORTE!$B$4),"",COUNTIF($B$2:$B14,PASSAPORTE!$B$4))</f>
        <v/>
      </c>
    </row>
    <row r="15">
      <c r="A15" t="inlineStr">
        <is>
          <t>PNE-014</t>
        </is>
      </c>
      <c r="B15" t="inlineStr">
        <is>
          <t>ATV-003</t>
        </is>
      </c>
      <c r="C15" t="inlineStr">
        <is>
          <t>2D</t>
        </is>
      </c>
      <c r="D15" t="inlineStr">
        <is>
          <t>Goodyear</t>
        </is>
      </c>
      <c r="E15" t="inlineStr">
        <is>
          <t>225/75</t>
        </is>
      </c>
      <c r="F15" t="n">
        <v>6</v>
      </c>
      <c r="G15" t="inlineStr">
        <is>
          <t>Instalado</t>
        </is>
      </c>
      <c r="H15">
        <f>IF(OR($B15="",$B15&lt;&gt;PASSAPORTE!$B$4),"",COUNTIF($B$2:$B15,PASSAPORTE!$B$4))</f>
        <v/>
      </c>
    </row>
    <row r="16">
      <c r="A16" t="inlineStr">
        <is>
          <t>PNE-015</t>
        </is>
      </c>
      <c r="B16" t="inlineStr">
        <is>
          <t>ATV-004</t>
        </is>
      </c>
      <c r="C16" t="inlineStr">
        <is>
          <t>-</t>
        </is>
      </c>
      <c r="D16" t="inlineStr">
        <is>
          <t>Pirelli</t>
        </is>
      </c>
      <c r="E16" t="inlineStr">
        <is>
          <t>295/80</t>
        </is>
      </c>
      <c r="F16" t="n">
        <v>2</v>
      </c>
      <c r="G16" t="inlineStr">
        <is>
          <t>Condenado</t>
        </is>
      </c>
      <c r="H16">
        <f>IF(OR($B16="",$B16&lt;&gt;PASSAPORTE!$B$4),"",COUNTIF($B$2:$B16,PASSAPORTE!$B$4))</f>
        <v/>
      </c>
    </row>
    <row r="17">
      <c r="A17" t="inlineStr">
        <is>
          <t>PNE-016</t>
        </is>
      </c>
      <c r="B17" t="inlineStr">
        <is>
          <t>ATV-004</t>
        </is>
      </c>
      <c r="C17" t="inlineStr">
        <is>
          <t>-</t>
        </is>
      </c>
      <c r="D17" t="inlineStr">
        <is>
          <t>Pirelli</t>
        </is>
      </c>
      <c r="E17" t="inlineStr">
        <is>
          <t>295/80</t>
        </is>
      </c>
      <c r="F17" t="n">
        <v>3</v>
      </c>
      <c r="G17" t="inlineStr">
        <is>
          <t>Condenado</t>
        </is>
      </c>
      <c r="H17">
        <f>IF(OR($B17="",$B17&lt;&gt;PASSAPORTE!$B$4),"",COUNTIF($B$2:$B17,PASSAPORTE!$B$4))</f>
        <v/>
      </c>
    </row>
    <row r="18">
      <c r="A18" t="inlineStr">
        <is>
          <t>PNE-017</t>
        </is>
      </c>
      <c r="B18" t="inlineStr">
        <is>
          <t>ATV-005</t>
        </is>
      </c>
      <c r="C18" t="inlineStr">
        <is>
          <t>1E</t>
        </is>
      </c>
      <c r="D18" t="inlineStr">
        <is>
          <t>Michelin</t>
        </is>
      </c>
      <c r="E18" t="inlineStr">
        <is>
          <t>120/70</t>
        </is>
      </c>
      <c r="F18" t="n">
        <v>7</v>
      </c>
      <c r="G18" t="inlineStr">
        <is>
          <t>Instalado</t>
        </is>
      </c>
      <c r="H18">
        <f>IF(OR($B18="",$B18&lt;&gt;PASSAPORTE!$B$4),"",COUNTIF($B$2:$B18,PASSAPORTE!$B$4))</f>
        <v/>
      </c>
    </row>
    <row r="19">
      <c r="A19" t="inlineStr">
        <is>
          <t>PNE-018</t>
        </is>
      </c>
      <c r="B19" t="inlineStr">
        <is>
          <t>ATV-005</t>
        </is>
      </c>
      <c r="C19" t="inlineStr">
        <is>
          <t>1D</t>
        </is>
      </c>
      <c r="D19" t="inlineStr">
        <is>
          <t>Michelin</t>
        </is>
      </c>
      <c r="E19" t="inlineStr">
        <is>
          <t>120/70</t>
        </is>
      </c>
      <c r="F19" t="n">
        <v>6</v>
      </c>
      <c r="G19" t="inlineStr">
        <is>
          <t>Instalado</t>
        </is>
      </c>
      <c r="H19">
        <f>IF(OR($B19="",$B19&lt;&gt;PASSAPORTE!$B$4),"",COUNTIF($B$2:$B19,PASSAPORTE!$B$4))</f>
        <v/>
      </c>
    </row>
    <row r="20">
      <c r="A20" t="inlineStr">
        <is>
          <t>PNE-019</t>
        </is>
      </c>
      <c r="B20" t="inlineStr">
        <is>
          <t>ATV-002</t>
        </is>
      </c>
      <c r="C20" t="inlineStr">
        <is>
          <t>-</t>
        </is>
      </c>
      <c r="D20" t="inlineStr">
        <is>
          <t>Bridgestone</t>
        </is>
      </c>
      <c r="E20" t="inlineStr">
        <is>
          <t>295/80</t>
        </is>
      </c>
      <c r="F20" t="n">
        <v>10</v>
      </c>
      <c r="G20" t="inlineStr">
        <is>
          <t>Estoque</t>
        </is>
      </c>
      <c r="H20">
        <f>IF(OR($B20="",$B20&lt;&gt;PASSAPORTE!$B$4),"",COUNTIF($B$2:$B20,PASSAPORTE!$B$4))</f>
        <v/>
      </c>
    </row>
    <row r="21">
      <c r="A21" t="inlineStr">
        <is>
          <t>PNE-020</t>
        </is>
      </c>
      <c r="B21" t="inlineStr">
        <is>
          <t>ATV-001</t>
        </is>
      </c>
      <c r="C21" t="inlineStr">
        <is>
          <t>-</t>
        </is>
      </c>
      <c r="D21" t="inlineStr">
        <is>
          <t>Michelin</t>
        </is>
      </c>
      <c r="E21" t="inlineStr">
        <is>
          <t>295/80</t>
        </is>
      </c>
      <c r="F21" t="n">
        <v>9</v>
      </c>
      <c r="G21" t="inlineStr">
        <is>
          <t>Estoque</t>
        </is>
      </c>
      <c r="H21">
        <f>IF(OR($B21="",$B21&lt;&gt;PASSAPORTE!$B$4),"",COUNTIF($B$2:$B21,PASSAPORTE!$B$4))</f>
        <v/>
      </c>
    </row>
  </sheetData>
  <autoFilter ref="A1:G200"/>
  <dataValidations count="1">
    <dataValidation sqref="G2:G500" showDropDown="0" showInputMessage="0" showErrorMessage="1" allowBlank="1" errorTitle="Valor inválido" error="Escolha um valor da lista." type="list">
      <formula1>"Instalado,Estoque,Condenado,Recapado"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hidden="1" width="22" customWidth="1" min="8" max="8"/>
    <col width="14" customWidth="1" min="9" max="9"/>
    <col width="14" customWidth="1" min="10" max="10"/>
  </cols>
  <sheetData>
    <row r="1" ht="22" customHeight="1">
      <c r="A1" s="39" t="inlineStr">
        <is>
          <t>Oco_ID</t>
        </is>
      </c>
      <c r="B1" s="39" t="inlineStr">
        <is>
          <t>Asset_ID</t>
        </is>
      </c>
      <c r="C1" s="39" t="inlineStr">
        <is>
          <t>Tipo</t>
        </is>
      </c>
      <c r="D1" s="39" t="inlineStr">
        <is>
          <t>Descricao</t>
        </is>
      </c>
      <c r="E1" s="39" t="inlineStr">
        <is>
          <t>Gravidade</t>
        </is>
      </c>
      <c r="F1" s="39" t="inlineStr">
        <is>
          <t>Status</t>
        </is>
      </c>
      <c r="G1" s="39" t="inlineStr">
        <is>
          <t>Data</t>
        </is>
      </c>
      <c r="H1" s="39" t="n"/>
    </row>
    <row r="2">
      <c r="A2" t="inlineStr">
        <is>
          <t>OCO-001</t>
        </is>
      </c>
      <c r="B2" t="inlineStr">
        <is>
          <t>ATV-001</t>
        </is>
      </c>
      <c r="C2" t="inlineStr">
        <is>
          <t>Avaria</t>
        </is>
      </c>
      <c r="D2" t="inlineStr">
        <is>
          <t>Para-choque trincado</t>
        </is>
      </c>
      <c r="E2" t="inlineStr">
        <is>
          <t>Média</t>
        </is>
      </c>
      <c r="F2" t="inlineStr">
        <is>
          <t>Aberta</t>
        </is>
      </c>
      <c r="G2" t="inlineStr">
        <is>
          <t>2026-09-28</t>
        </is>
      </c>
      <c r="H2">
        <f>IF(OR($B2="",$B2&lt;&gt;PASSAPORTE!$B$4),"",COUNTIF($B$2:$B2,PASSAPORTE!$B$4))</f>
        <v/>
      </c>
    </row>
    <row r="3">
      <c r="A3" t="inlineStr">
        <is>
          <t>OCO-002</t>
        </is>
      </c>
      <c r="B3" t="inlineStr">
        <is>
          <t>ATV-001</t>
        </is>
      </c>
      <c r="C3" t="inlineStr">
        <is>
          <t>Pendência</t>
        </is>
      </c>
      <c r="D3" t="inlineStr">
        <is>
          <t>Documento CRLV vencendo</t>
        </is>
      </c>
      <c r="E3" t="inlineStr">
        <is>
          <t>Baixa</t>
        </is>
      </c>
      <c r="F3" t="inlineStr">
        <is>
          <t>Aberta</t>
        </is>
      </c>
      <c r="G3" t="inlineStr">
        <is>
          <t>2026-09-28</t>
        </is>
      </c>
      <c r="H3">
        <f>IF(OR($B3="",$B3&lt;&gt;PASSAPORTE!$B$4),"",COUNTIF($B$2:$B3,PASSAPORTE!$B$4))</f>
        <v/>
      </c>
    </row>
    <row r="4">
      <c r="A4" t="inlineStr">
        <is>
          <t>OCO-003</t>
        </is>
      </c>
      <c r="B4" t="inlineStr">
        <is>
          <t>ATV-001</t>
        </is>
      </c>
      <c r="C4" t="inlineStr">
        <is>
          <t>Falha</t>
        </is>
      </c>
      <c r="D4" t="inlineStr">
        <is>
          <t>Vazamento de óleo</t>
        </is>
      </c>
      <c r="E4" t="inlineStr">
        <is>
          <t>Alta</t>
        </is>
      </c>
      <c r="F4" t="inlineStr">
        <is>
          <t>Em Correção</t>
        </is>
      </c>
      <c r="G4" t="inlineStr">
        <is>
          <t>2026-09-25</t>
        </is>
      </c>
      <c r="H4">
        <f>IF(OR($B4="",$B4&lt;&gt;PASSAPORTE!$B$4),"",COUNTIF($B$2:$B4,PASSAPORTE!$B$4))</f>
        <v/>
      </c>
    </row>
    <row r="5">
      <c r="A5" t="inlineStr">
        <is>
          <t>OCO-004</t>
        </is>
      </c>
      <c r="B5" t="inlineStr">
        <is>
          <t>ATV-002</t>
        </is>
      </c>
      <c r="C5" t="inlineStr">
        <is>
          <t>Pendência</t>
        </is>
      </c>
      <c r="D5" t="inlineStr">
        <is>
          <t>Revisão dos 80.000 km</t>
        </is>
      </c>
      <c r="E5" t="inlineStr">
        <is>
          <t>Baixa</t>
        </is>
      </c>
      <c r="F5" t="inlineStr">
        <is>
          <t>Resolvida</t>
        </is>
      </c>
      <c r="G5" t="inlineStr">
        <is>
          <t>2026-09-20</t>
        </is>
      </c>
      <c r="H5">
        <f>IF(OR($B5="",$B5&lt;&gt;PASSAPORTE!$B$4),"",COUNTIF($B$2:$B5,PASSAPORTE!$B$4))</f>
        <v/>
      </c>
    </row>
    <row r="6">
      <c r="A6" t="inlineStr">
        <is>
          <t>OCO-005</t>
        </is>
      </c>
      <c r="B6" t="inlineStr">
        <is>
          <t>ATV-002</t>
        </is>
      </c>
      <c r="C6" t="inlineStr">
        <is>
          <t>Avaria</t>
        </is>
      </c>
      <c r="D6" t="inlineStr">
        <is>
          <t>Risco na porta lateral</t>
        </is>
      </c>
      <c r="E6" t="inlineStr">
        <is>
          <t>Baixa</t>
        </is>
      </c>
      <c r="F6" t="inlineStr">
        <is>
          <t>Resolvida</t>
        </is>
      </c>
      <c r="G6" t="inlineStr">
        <is>
          <t>2026-09-15</t>
        </is>
      </c>
      <c r="H6">
        <f>IF(OR($B6="",$B6&lt;&gt;PASSAPORTE!$B$4),"",COUNTIF($B$2:$B6,PASSAPORTE!$B$4))</f>
        <v/>
      </c>
    </row>
    <row r="7">
      <c r="A7" t="inlineStr">
        <is>
          <t>OCO-006</t>
        </is>
      </c>
      <c r="B7" t="inlineStr">
        <is>
          <t>ATV-002</t>
        </is>
      </c>
      <c r="C7" t="inlineStr">
        <is>
          <t>Falha</t>
        </is>
      </c>
      <c r="D7" t="inlineStr">
        <is>
          <t>Luz de injeção acesa</t>
        </is>
      </c>
      <c r="E7" t="inlineStr">
        <is>
          <t>Média</t>
        </is>
      </c>
      <c r="F7" t="inlineStr">
        <is>
          <t>Em Correção</t>
        </is>
      </c>
      <c r="G7" t="inlineStr">
        <is>
          <t>2026-09-26</t>
        </is>
      </c>
      <c r="H7">
        <f>IF(OR($B7="",$B7&lt;&gt;PASSAPORTE!$B$4),"",COUNTIF($B$2:$B7,PASSAPORTE!$B$4))</f>
        <v/>
      </c>
    </row>
    <row r="8">
      <c r="A8" t="inlineStr">
        <is>
          <t>OCO-007</t>
        </is>
      </c>
      <c r="B8" t="inlineStr">
        <is>
          <t>ATV-003</t>
        </is>
      </c>
      <c r="C8" t="inlineStr">
        <is>
          <t>Avaria</t>
        </is>
      </c>
      <c r="D8" t="inlineStr">
        <is>
          <t>Para-brisa trincado</t>
        </is>
      </c>
      <c r="E8" t="inlineStr">
        <is>
          <t>Alta</t>
        </is>
      </c>
      <c r="F8" t="inlineStr">
        <is>
          <t>Aberta</t>
        </is>
      </c>
      <c r="G8" t="inlineStr">
        <is>
          <t>2026-09-27</t>
        </is>
      </c>
      <c r="H8">
        <f>IF(OR($B8="",$B8&lt;&gt;PASSAPORTE!$B$4),"",COUNTIF($B$2:$B8,PASSAPORTE!$B$4))</f>
        <v/>
      </c>
    </row>
    <row r="9">
      <c r="A9" t="inlineStr">
        <is>
          <t>OCO-008</t>
        </is>
      </c>
      <c r="B9" t="inlineStr">
        <is>
          <t>ATV-003</t>
        </is>
      </c>
      <c r="C9" t="inlineStr">
        <is>
          <t>Falha</t>
        </is>
      </c>
      <c r="D9" t="inlineStr">
        <is>
          <t>Freio traseiro fraco</t>
        </is>
      </c>
      <c r="E9" t="inlineStr">
        <is>
          <t>Alta</t>
        </is>
      </c>
      <c r="F9" t="inlineStr">
        <is>
          <t>Aberta</t>
        </is>
      </c>
      <c r="G9" t="inlineStr">
        <is>
          <t>2026-09-27</t>
        </is>
      </c>
      <c r="H9">
        <f>IF(OR($B9="",$B9&lt;&gt;PASSAPORTE!$B$4),"",COUNTIF($B$2:$B9,PASSAPORTE!$B$4))</f>
        <v/>
      </c>
    </row>
    <row r="10">
      <c r="A10" t="inlineStr">
        <is>
          <t>OCO-009</t>
        </is>
      </c>
      <c r="B10" t="inlineStr">
        <is>
          <t>ATV-003</t>
        </is>
      </c>
      <c r="C10" t="inlineStr">
        <is>
          <t>Pendência</t>
        </is>
      </c>
      <c r="D10" t="inlineStr">
        <is>
          <t>Seguro a vencer</t>
        </is>
      </c>
      <c r="E10" t="inlineStr">
        <is>
          <t>Média</t>
        </is>
      </c>
      <c r="F10" t="inlineStr">
        <is>
          <t>Aberta</t>
        </is>
      </c>
      <c r="G10" t="inlineStr">
        <is>
          <t>2026-09-24</t>
        </is>
      </c>
      <c r="H10">
        <f>IF(OR($B10="",$B10&lt;&gt;PASSAPORTE!$B$4),"",COUNTIF($B$2:$B10,PASSAPORTE!$B$4))</f>
        <v/>
      </c>
    </row>
    <row r="11">
      <c r="A11" t="inlineStr">
        <is>
          <t>OCO-010</t>
        </is>
      </c>
      <c r="B11" t="inlineStr">
        <is>
          <t>ATV-003</t>
        </is>
      </c>
      <c r="C11" t="inlineStr">
        <is>
          <t>Avaria</t>
        </is>
      </c>
      <c r="D11" t="inlineStr">
        <is>
          <t>Amassado lateral direita</t>
        </is>
      </c>
      <c r="E11" t="inlineStr">
        <is>
          <t>Baixa</t>
        </is>
      </c>
      <c r="F11" t="inlineStr">
        <is>
          <t>Resolvida</t>
        </is>
      </c>
      <c r="G11" t="inlineStr">
        <is>
          <t>2026-09-10</t>
        </is>
      </c>
      <c r="H11">
        <f>IF(OR($B11="",$B11&lt;&gt;PASSAPORTE!$B$4),"",COUNTIF($B$2:$B11,PASSAPORTE!$B$4))</f>
        <v/>
      </c>
    </row>
    <row r="12">
      <c r="A12" t="inlineStr">
        <is>
          <t>OCO-011</t>
        </is>
      </c>
      <c r="B12" t="inlineStr">
        <is>
          <t>ATV-004</t>
        </is>
      </c>
      <c r="C12" t="inlineStr">
        <is>
          <t>Falha</t>
        </is>
      </c>
      <c r="D12" t="inlineStr">
        <is>
          <t>Não liga</t>
        </is>
      </c>
      <c r="E12" t="inlineStr">
        <is>
          <t>Crítica</t>
        </is>
      </c>
      <c r="F12" t="inlineStr">
        <is>
          <t>Aberta</t>
        </is>
      </c>
      <c r="G12" t="inlineStr">
        <is>
          <t>2026-09-26</t>
        </is>
      </c>
      <c r="H12">
        <f>IF(OR($B12="",$B12&lt;&gt;PASSAPORTE!$B$4),"",COUNTIF($B$2:$B12,PASSAPORTE!$B$4))</f>
        <v/>
      </c>
    </row>
    <row r="13">
      <c r="A13" t="inlineStr">
        <is>
          <t>OCO-012</t>
        </is>
      </c>
      <c r="B13" t="inlineStr">
        <is>
          <t>ATV-004</t>
        </is>
      </c>
      <c r="C13" t="inlineStr">
        <is>
          <t>Falha</t>
        </is>
      </c>
      <c r="D13" t="inlineStr">
        <is>
          <t>Bateria descarregando</t>
        </is>
      </c>
      <c r="E13" t="inlineStr">
        <is>
          <t>Crítica</t>
        </is>
      </c>
      <c r="F13" t="inlineStr">
        <is>
          <t>Em Correção</t>
        </is>
      </c>
      <c r="G13" t="inlineStr">
        <is>
          <t>2026-09-26</t>
        </is>
      </c>
      <c r="H13">
        <f>IF(OR($B13="",$B13&lt;&gt;PASSAPORTE!$B$4),"",COUNTIF($B$2:$B13,PASSAPORTE!$B$4))</f>
        <v/>
      </c>
    </row>
    <row r="14">
      <c r="A14" t="inlineStr">
        <is>
          <t>OCO-013</t>
        </is>
      </c>
      <c r="B14" t="inlineStr">
        <is>
          <t>ATV-004</t>
        </is>
      </c>
      <c r="C14" t="inlineStr">
        <is>
          <t>Falha</t>
        </is>
      </c>
      <c r="D14" t="inlineStr">
        <is>
          <t>Alternador com ruído</t>
        </is>
      </c>
      <c r="E14" t="inlineStr">
        <is>
          <t>Alta</t>
        </is>
      </c>
      <c r="F14" t="inlineStr">
        <is>
          <t>Aberta</t>
        </is>
      </c>
      <c r="G14" t="inlineStr">
        <is>
          <t>2026-09-26</t>
        </is>
      </c>
      <c r="H14">
        <f>IF(OR($B14="",$B14&lt;&gt;PASSAPORTE!$B$4),"",COUNTIF($B$2:$B14,PASSAPORTE!$B$4))</f>
        <v/>
      </c>
    </row>
    <row r="15">
      <c r="A15" t="inlineStr">
        <is>
          <t>OCO-014</t>
        </is>
      </c>
      <c r="B15" t="inlineStr">
        <is>
          <t>ATV-004</t>
        </is>
      </c>
      <c r="C15" t="inlineStr">
        <is>
          <t>Pendência</t>
        </is>
      </c>
      <c r="D15" t="inlineStr">
        <is>
          <t>Manutenção preventiva atrasada</t>
        </is>
      </c>
      <c r="E15" t="inlineStr">
        <is>
          <t>Média</t>
        </is>
      </c>
      <c r="F15" t="inlineStr">
        <is>
          <t>Aberta</t>
        </is>
      </c>
      <c r="G15" t="inlineStr">
        <is>
          <t>2026-09-22</t>
        </is>
      </c>
      <c r="H15">
        <f>IF(OR($B15="",$B15&lt;&gt;PASSAPORTE!$B$4),"",COUNTIF($B$2:$B15,PASSAPORTE!$B$4))</f>
        <v/>
      </c>
    </row>
    <row r="16">
      <c r="A16" t="inlineStr">
        <is>
          <t>OCO-015</t>
        </is>
      </c>
      <c r="B16" t="inlineStr">
        <is>
          <t>ATV-004</t>
        </is>
      </c>
      <c r="C16" t="inlineStr">
        <is>
          <t>Avaria</t>
        </is>
      </c>
      <c r="D16" t="inlineStr">
        <is>
          <t>Painel com falha de leitura</t>
        </is>
      </c>
      <c r="E16" t="inlineStr">
        <is>
          <t>Média</t>
        </is>
      </c>
      <c r="F16" t="inlineStr">
        <is>
          <t>Em Correção</t>
        </is>
      </c>
      <c r="G16" t="inlineStr">
        <is>
          <t>2026-09-25</t>
        </is>
      </c>
      <c r="H16">
        <f>IF(OR($B16="",$B16&lt;&gt;PASSAPORTE!$B$4),"",COUNTIF($B$2:$B16,PASSAPORTE!$B$4))</f>
        <v/>
      </c>
    </row>
    <row r="17">
      <c r="A17" t="inlineStr">
        <is>
          <t>OCO-016</t>
        </is>
      </c>
      <c r="B17" t="inlineStr">
        <is>
          <t>ATV-005</t>
        </is>
      </c>
      <c r="C17" t="inlineStr">
        <is>
          <t>Avaria</t>
        </is>
      </c>
      <c r="D17" t="inlineStr">
        <is>
          <t>Retrovisor quebrado</t>
        </is>
      </c>
      <c r="E17" t="inlineStr">
        <is>
          <t>Baixa</t>
        </is>
      </c>
      <c r="F17" t="inlineStr">
        <is>
          <t>Resolvida</t>
        </is>
      </c>
      <c r="G17" t="inlineStr">
        <is>
          <t>2026-09-18</t>
        </is>
      </c>
      <c r="H17">
        <f>IF(OR($B17="",$B17&lt;&gt;PASSAPORTE!$B$4),"",COUNTIF($B$2:$B17,PASSAPORTE!$B$4))</f>
        <v/>
      </c>
    </row>
    <row r="18">
      <c r="A18" t="inlineStr">
        <is>
          <t>OCO-017</t>
        </is>
      </c>
      <c r="B18" t="inlineStr">
        <is>
          <t>ATV-005</t>
        </is>
      </c>
      <c r="C18" t="inlineStr">
        <is>
          <t>Pendência</t>
        </is>
      </c>
      <c r="D18" t="inlineStr">
        <is>
          <t>Troca de óleo agendada</t>
        </is>
      </c>
      <c r="E18" t="inlineStr">
        <is>
          <t>Baixa</t>
        </is>
      </c>
      <c r="F18" t="inlineStr">
        <is>
          <t>Resolvida</t>
        </is>
      </c>
      <c r="G18" t="inlineStr">
        <is>
          <t>2026-09-19</t>
        </is>
      </c>
      <c r="H18">
        <f>IF(OR($B18="",$B18&lt;&gt;PASSAPORTE!$B$4),"",COUNTIF($B$2:$B18,PASSAPORTE!$B$4))</f>
        <v/>
      </c>
    </row>
    <row r="19">
      <c r="A19" t="inlineStr">
        <is>
          <t>OCO-018</t>
        </is>
      </c>
      <c r="B19" t="inlineStr">
        <is>
          <t>ATV-005</t>
        </is>
      </c>
      <c r="C19" t="inlineStr">
        <is>
          <t>Falha</t>
        </is>
      </c>
      <c r="D19" t="inlineStr">
        <is>
          <t>Farol baixo queimado</t>
        </is>
      </c>
      <c r="E19" t="inlineStr">
        <is>
          <t>Baixa</t>
        </is>
      </c>
      <c r="F19" t="inlineStr">
        <is>
          <t>Aberta</t>
        </is>
      </c>
      <c r="G19" t="inlineStr">
        <is>
          <t>2026-09-28</t>
        </is>
      </c>
      <c r="H19">
        <f>IF(OR($B19="",$B19&lt;&gt;PASSAPORTE!$B$4),"",COUNTIF($B$2:$B19,PASSAPORTE!$B$4))</f>
        <v/>
      </c>
    </row>
    <row r="20">
      <c r="A20" t="inlineStr">
        <is>
          <t>OCO-019</t>
        </is>
      </c>
      <c r="B20" t="inlineStr">
        <is>
          <t>ATV-001</t>
        </is>
      </c>
      <c r="C20" t="inlineStr">
        <is>
          <t>Falha</t>
        </is>
      </c>
      <c r="D20" t="inlineStr">
        <is>
          <t>Pneu dianteiro esvaziando</t>
        </is>
      </c>
      <c r="E20" t="inlineStr">
        <is>
          <t>Média</t>
        </is>
      </c>
      <c r="F20" t="inlineStr">
        <is>
          <t>Aberta</t>
        </is>
      </c>
      <c r="G20" t="inlineStr">
        <is>
          <t>2026-09-28</t>
        </is>
      </c>
      <c r="H20">
        <f>IF(OR($B20="",$B20&lt;&gt;PASSAPORTE!$B$4),"",COUNTIF($B$2:$B20,PASSAPORTE!$B$4))</f>
        <v/>
      </c>
    </row>
    <row r="21">
      <c r="A21" t="inlineStr">
        <is>
          <t>OCO-020</t>
        </is>
      </c>
      <c r="B21" t="inlineStr">
        <is>
          <t>ATV-003</t>
        </is>
      </c>
      <c r="C21" t="inlineStr">
        <is>
          <t>Falha</t>
        </is>
      </c>
      <c r="D21" t="inlineStr">
        <is>
          <t>Ar-condicionado sem gelar</t>
        </is>
      </c>
      <c r="E21" t="inlineStr">
        <is>
          <t>Baixa</t>
        </is>
      </c>
      <c r="F21" t="inlineStr">
        <is>
          <t>Aberta</t>
        </is>
      </c>
      <c r="G21" t="inlineStr">
        <is>
          <t>2026-09-28</t>
        </is>
      </c>
      <c r="H21">
        <f>IF(OR($B21="",$B21&lt;&gt;PASSAPORTE!$B$4),"",COUNTIF($B$2:$B21,PASSAPORTE!$B$4))</f>
        <v/>
      </c>
    </row>
  </sheetData>
  <autoFilter ref="A1:G200"/>
  <dataValidations count="3">
    <dataValidation sqref="C2:C500" showDropDown="0" showInputMessage="0" showErrorMessage="1" allowBlank="1" errorTitle="Valor inválido" error="Escolha um valor da lista." type="list">
      <formula1>"Avaria,Falha,Pendência"</formula1>
    </dataValidation>
    <dataValidation sqref="E2:E500" showDropDown="0" showInputMessage="0" showErrorMessage="1" allowBlank="1" errorTitle="Valor inválido" error="Escolha um valor da lista." type="list">
      <formula1>"Baixa,Média,Alta,Crítica"</formula1>
    </dataValidation>
    <dataValidation sqref="F2:F500" showDropDown="0" showInputMessage="0" showErrorMessage="1" allowBlank="1" errorTitle="Valor inválido" error="Escolha um valor da lista." type="list">
      <formula1>"Aberta,Em Correção,Resolvida"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hidden="1" width="14" customWidth="1" min="9" max="9"/>
    <col width="14" customWidth="1" min="10" max="10"/>
  </cols>
  <sheetData>
    <row r="1" ht="22" customHeight="1">
      <c r="A1" s="39" t="inlineStr">
        <is>
          <t>Insp_ID</t>
        </is>
      </c>
      <c r="B1" s="39" t="inlineStr">
        <is>
          <t>Asset_ID</t>
        </is>
      </c>
      <c r="C1" s="39" t="inlineStr">
        <is>
          <t>Data</t>
        </is>
      </c>
      <c r="D1" s="39" t="inlineStr">
        <is>
          <t>Inspecionado_Por</t>
        </is>
      </c>
      <c r="E1" s="39" t="inlineStr">
        <is>
          <t>Class_Antes</t>
        </is>
      </c>
      <c r="F1" s="39" t="inlineStr">
        <is>
          <t>Class_Depois</t>
        </is>
      </c>
      <c r="G1" s="39" t="inlineStr">
        <is>
          <t>Km_Horimetro</t>
        </is>
      </c>
      <c r="H1" s="39" t="inlineStr">
        <is>
          <t>Resumo</t>
        </is>
      </c>
      <c r="I1" s="39" t="n"/>
    </row>
    <row r="2">
      <c r="A2" t="inlineStr">
        <is>
          <t>INS-006</t>
        </is>
      </c>
      <c r="B2" t="inlineStr">
        <is>
          <t>ATV-004</t>
        </is>
      </c>
      <c r="C2" t="inlineStr">
        <is>
          <t>2026-09-26</t>
        </is>
      </c>
      <c r="D2" t="inlineStr">
        <is>
          <t>Kaká</t>
        </is>
      </c>
      <c r="E2" t="inlineStr">
        <is>
          <t>C</t>
        </is>
      </c>
      <c r="F2" t="inlineStr">
        <is>
          <t>D</t>
        </is>
      </c>
      <c r="G2" t="n">
        <v>4200</v>
      </c>
      <c r="H2" t="inlineStr">
        <is>
          <t>Motor travou; bloqueio técnico</t>
        </is>
      </c>
      <c r="I2">
        <f>IF(OR($B2="",$B2&lt;&gt;PASSAPORTE!$B$4),"",COUNTIF($B$2:$B2,PASSAPORTE!$B$4))</f>
        <v/>
      </c>
    </row>
    <row r="3">
      <c r="A3" t="inlineStr">
        <is>
          <t>INS-005</t>
        </is>
      </c>
      <c r="B3" t="inlineStr">
        <is>
          <t>ATV-003</t>
        </is>
      </c>
      <c r="C3" t="inlineStr">
        <is>
          <t>2026-09-27</t>
        </is>
      </c>
      <c r="D3" t="inlineStr">
        <is>
          <t>Kaká</t>
        </is>
      </c>
      <c r="E3" t="inlineStr">
        <is>
          <t>B</t>
        </is>
      </c>
      <c r="F3" t="inlineStr">
        <is>
          <t>C</t>
        </is>
      </c>
      <c r="G3" t="n">
        <v>98750</v>
      </c>
      <c r="H3" t="inlineStr">
        <is>
          <t>Freios e injeção degradaram</t>
        </is>
      </c>
      <c r="I3">
        <f>IF(OR($B3="",$B3&lt;&gt;PASSAPORTE!$B$4),"",COUNTIF($B$2:$B3,PASSAPORTE!$B$4))</f>
        <v/>
      </c>
    </row>
    <row r="4">
      <c r="A4" t="inlineStr">
        <is>
          <t>INS-004</t>
        </is>
      </c>
      <c r="B4" t="inlineStr">
        <is>
          <t>ATV-005</t>
        </is>
      </c>
      <c r="C4" t="inlineStr">
        <is>
          <t>2026-09-25</t>
        </is>
      </c>
      <c r="D4" t="inlineStr">
        <is>
          <t>Kaká</t>
        </is>
      </c>
      <c r="E4" t="inlineStr">
        <is>
          <t>A</t>
        </is>
      </c>
      <c r="F4" t="inlineStr">
        <is>
          <t>A</t>
        </is>
      </c>
      <c r="G4" t="n">
        <v>18400</v>
      </c>
      <c r="H4" t="inlineStr">
        <is>
          <t>Sem alteração</t>
        </is>
      </c>
      <c r="I4">
        <f>IF(OR($B4="",$B4&lt;&gt;PASSAPORTE!$B$4),"",COUNTIF($B$2:$B4,PASSAPORTE!$B$4))</f>
        <v/>
      </c>
    </row>
    <row r="5">
      <c r="A5" t="inlineStr">
        <is>
          <t>INS-003</t>
        </is>
      </c>
      <c r="B5" t="inlineStr">
        <is>
          <t>ATV-002</t>
        </is>
      </c>
      <c r="C5" t="inlineStr">
        <is>
          <t>2026-09-28</t>
        </is>
      </c>
      <c r="D5" t="inlineStr">
        <is>
          <t>Kaká</t>
        </is>
      </c>
      <c r="E5" t="inlineStr">
        <is>
          <t>A</t>
        </is>
      </c>
      <c r="F5" t="inlineStr">
        <is>
          <t>A</t>
        </is>
      </c>
      <c r="G5" t="n">
        <v>82300</v>
      </c>
      <c r="H5" t="inlineStr">
        <is>
          <t>Sem alteração</t>
        </is>
      </c>
      <c r="I5">
        <f>IF(OR($B5="",$B5&lt;&gt;PASSAPORTE!$B$4),"",COUNTIF($B$2:$B5,PASSAPORTE!$B$4))</f>
        <v/>
      </c>
    </row>
    <row r="6">
      <c r="A6" t="inlineStr">
        <is>
          <t>INS-002</t>
        </is>
      </c>
      <c r="B6" t="inlineStr">
        <is>
          <t>ATV-001</t>
        </is>
      </c>
      <c r="C6" t="inlineStr">
        <is>
          <t>2026-09-28</t>
        </is>
      </c>
      <c r="D6" t="inlineStr">
        <is>
          <t>Kaká</t>
        </is>
      </c>
      <c r="E6" t="inlineStr">
        <is>
          <t>A</t>
        </is>
      </c>
      <c r="F6" t="inlineStr">
        <is>
          <t>B</t>
        </is>
      </c>
      <c r="G6" t="n">
        <v>152340</v>
      </c>
      <c r="H6" t="inlineStr">
        <is>
          <t>Freios degradados</t>
        </is>
      </c>
      <c r="I6">
        <f>IF(OR($B6="",$B6&lt;&gt;PASSAPORTE!$B$4),"",COUNTIF($B$2:$B6,PASSAPORTE!$B$4))</f>
        <v/>
      </c>
    </row>
    <row r="7">
      <c r="A7" t="inlineStr">
        <is>
          <t>INS-001</t>
        </is>
      </c>
      <c r="B7" t="inlineStr">
        <is>
          <t>ATV-001</t>
        </is>
      </c>
      <c r="C7" t="inlineStr">
        <is>
          <t>2026-07-15</t>
        </is>
      </c>
      <c r="D7" t="inlineStr">
        <is>
          <t>Kaká</t>
        </is>
      </c>
      <c r="E7" t="inlineStr">
        <is>
          <t>—</t>
        </is>
      </c>
      <c r="F7" t="inlineStr">
        <is>
          <t>A</t>
        </is>
      </c>
      <c r="G7" t="n">
        <v>148000</v>
      </c>
      <c r="H7" t="inlineStr">
        <is>
          <t>Inspeção inicial</t>
        </is>
      </c>
      <c r="I7">
        <f>IF(OR($B7="",$B7&lt;&gt;PASSAPORTE!$B$4),"",COUNTIF($B$2:$B7,PASSAPORTE!$B$4))</f>
        <v/>
      </c>
    </row>
  </sheetData>
  <autoFilter ref="A1:H200"/>
  <dataValidations count="2">
    <dataValidation sqref="E2:E500" showDropDown="0" showInputMessage="0" showErrorMessage="1" allowBlank="1" errorTitle="Valor inválido" error="Escolha um valor da lista." type="list">
      <formula1>"A,B,C,D"</formula1>
    </dataValidation>
    <dataValidation sqref="F2:F500" showDropDown="0" showInputMessage="0" showErrorMessage="1" allowBlank="1" errorTitle="Valor inválido" error="Escolha um valor da lista." type="list">
      <formula1>"A,B,C,D"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14" customWidth="1" min="9" max="9"/>
    <col hidden="1" width="14" customWidth="1" min="10" max="10"/>
  </cols>
  <sheetData>
    <row r="1" ht="22" customHeight="1">
      <c r="A1" s="39" t="inlineStr">
        <is>
          <t>Evento_ID</t>
        </is>
      </c>
      <c r="B1" s="39" t="inlineStr">
        <is>
          <t>Data</t>
        </is>
      </c>
      <c r="C1" s="39" t="inlineStr">
        <is>
          <t>Asset_ID</t>
        </is>
      </c>
      <c r="D1" s="39" t="inlineStr">
        <is>
          <t>Tipo</t>
        </is>
      </c>
      <c r="E1" s="39" t="inlineStr">
        <is>
          <t>Ref_ID</t>
        </is>
      </c>
      <c r="F1" s="39" t="inlineStr">
        <is>
          <t>Descricao</t>
        </is>
      </c>
      <c r="G1" s="39" t="inlineStr">
        <is>
          <t>Antes</t>
        </is>
      </c>
      <c r="H1" s="39" t="inlineStr">
        <is>
          <t>Depois</t>
        </is>
      </c>
      <c r="I1" s="39" t="inlineStr">
        <is>
          <t>Responsavel</t>
        </is>
      </c>
      <c r="J1" s="39" t="n"/>
    </row>
    <row r="2">
      <c r="A2" t="inlineStr">
        <is>
          <t>EVE-008</t>
        </is>
      </c>
      <c r="B2" t="inlineStr">
        <is>
          <t>2026-09-28</t>
        </is>
      </c>
      <c r="C2" t="inlineStr">
        <is>
          <t>ATV-001</t>
        </is>
      </c>
      <c r="D2" t="inlineStr">
        <is>
          <t>Inspeção</t>
        </is>
      </c>
      <c r="E2" t="inlineStr">
        <is>
          <t>INS-002</t>
        </is>
      </c>
      <c r="F2" t="inlineStr">
        <is>
          <t>Classificação A → B</t>
        </is>
      </c>
      <c r="G2" t="inlineStr">
        <is>
          <t>A</t>
        </is>
      </c>
      <c r="H2" t="inlineStr">
        <is>
          <t>B</t>
        </is>
      </c>
      <c r="I2" t="inlineStr">
        <is>
          <t>Kaká</t>
        </is>
      </c>
      <c r="J2">
        <f>IF(OR($B2="",$B2&lt;&gt;PASSAPORTE!$B$4),"",COUNTIF($B$2:$B2,PASSAPORTE!$B$4))</f>
        <v/>
      </c>
    </row>
    <row r="3">
      <c r="A3" t="inlineStr">
        <is>
          <t>EVE-007</t>
        </is>
      </c>
      <c r="B3" t="inlineStr">
        <is>
          <t>2026-09-28</t>
        </is>
      </c>
      <c r="C3" t="inlineStr">
        <is>
          <t>ATV-001</t>
        </is>
      </c>
      <c r="D3" t="inlineStr">
        <is>
          <t>Mudança Subativo</t>
        </is>
      </c>
      <c r="E3" t="inlineStr">
        <is>
          <t>SUB-003</t>
        </is>
      </c>
      <c r="F3" t="inlineStr">
        <is>
          <t>Freios: Funcional → Degradado</t>
        </is>
      </c>
      <c r="G3" t="inlineStr">
        <is>
          <t>A</t>
        </is>
      </c>
      <c r="H3" t="inlineStr">
        <is>
          <t>B</t>
        </is>
      </c>
      <c r="I3" t="inlineStr">
        <is>
          <t>Kaká</t>
        </is>
      </c>
      <c r="J3">
        <f>IF(OR($B3="",$B3&lt;&gt;PASSAPORTE!$B$4),"",COUNTIF($B$2:$B3,PASSAPORTE!$B$4))</f>
        <v/>
      </c>
    </row>
    <row r="4">
      <c r="A4" t="inlineStr">
        <is>
          <t>EVE-006</t>
        </is>
      </c>
      <c r="B4" t="inlineStr">
        <is>
          <t>2026-09-28</t>
        </is>
      </c>
      <c r="C4" t="inlineStr">
        <is>
          <t>ATV-001</t>
        </is>
      </c>
      <c r="D4" t="inlineStr">
        <is>
          <t>Ocorrência Aberta</t>
        </is>
      </c>
      <c r="E4" t="inlineStr">
        <is>
          <t>OCO-019</t>
        </is>
      </c>
      <c r="F4" t="inlineStr">
        <is>
          <t>Pneu dianteiro esvaziando</t>
        </is>
      </c>
      <c r="G4" t="inlineStr">
        <is>
          <t>—</t>
        </is>
      </c>
      <c r="H4" t="inlineStr">
        <is>
          <t>Aberta</t>
        </is>
      </c>
      <c r="I4" t="inlineStr">
        <is>
          <t>Kaká</t>
        </is>
      </c>
      <c r="J4">
        <f>IF(OR($B4="",$B4&lt;&gt;PASSAPORTE!$B$4),"",COUNTIF($B$2:$B4,PASSAPORTE!$B$4))</f>
        <v/>
      </c>
    </row>
    <row r="5">
      <c r="A5" t="inlineStr">
        <is>
          <t>EVE-005</t>
        </is>
      </c>
      <c r="B5" t="inlineStr">
        <is>
          <t>2026-09-27</t>
        </is>
      </c>
      <c r="C5" t="inlineStr">
        <is>
          <t>ATV-003</t>
        </is>
      </c>
      <c r="D5" t="inlineStr">
        <is>
          <t>Inspeção</t>
        </is>
      </c>
      <c r="E5" t="inlineStr">
        <is>
          <t>INS-005</t>
        </is>
      </c>
      <c r="F5" t="inlineStr">
        <is>
          <t>Classificação B → C</t>
        </is>
      </c>
      <c r="G5" t="inlineStr">
        <is>
          <t>B</t>
        </is>
      </c>
      <c r="H5" t="inlineStr">
        <is>
          <t>C</t>
        </is>
      </c>
      <c r="I5" t="inlineStr">
        <is>
          <t>Kaká</t>
        </is>
      </c>
      <c r="J5">
        <f>IF(OR($B5="",$B5&lt;&gt;PASSAPORTE!$B$4),"",COUNTIF($B$2:$B5,PASSAPORTE!$B$4))</f>
        <v/>
      </c>
    </row>
    <row r="6">
      <c r="A6" t="inlineStr">
        <is>
          <t>EVE-004</t>
        </is>
      </c>
      <c r="B6" t="inlineStr">
        <is>
          <t>2026-09-26</t>
        </is>
      </c>
      <c r="C6" t="inlineStr">
        <is>
          <t>ATV-004</t>
        </is>
      </c>
      <c r="D6" t="inlineStr">
        <is>
          <t>Ativo Bloqueado</t>
        </is>
      </c>
      <c r="E6" t="inlineStr">
        <is>
          <t>INS-006</t>
        </is>
      </c>
      <c r="F6" t="inlineStr">
        <is>
          <t>Classificação C → D</t>
        </is>
      </c>
      <c r="G6" t="inlineStr">
        <is>
          <t>C</t>
        </is>
      </c>
      <c r="H6" t="inlineStr">
        <is>
          <t>D</t>
        </is>
      </c>
      <c r="I6" t="inlineStr">
        <is>
          <t>Kaká</t>
        </is>
      </c>
      <c r="J6">
        <f>IF(OR($B6="",$B6&lt;&gt;PASSAPORTE!$B$4),"",COUNTIF($B$2:$B6,PASSAPORTE!$B$4))</f>
        <v/>
      </c>
    </row>
    <row r="7">
      <c r="A7" t="inlineStr">
        <is>
          <t>EVE-003</t>
        </is>
      </c>
      <c r="B7" t="inlineStr">
        <is>
          <t>2026-09-25</t>
        </is>
      </c>
      <c r="C7" t="inlineStr">
        <is>
          <t>ATV-001</t>
        </is>
      </c>
      <c r="D7" t="inlineStr">
        <is>
          <t>Ocorrência Aberta</t>
        </is>
      </c>
      <c r="E7" t="inlineStr">
        <is>
          <t>OCO-003</t>
        </is>
      </c>
      <c r="F7" t="inlineStr">
        <is>
          <t>Vazamento de óleo</t>
        </is>
      </c>
      <c r="G7" t="inlineStr">
        <is>
          <t>—</t>
        </is>
      </c>
      <c r="H7" t="inlineStr">
        <is>
          <t>Aberta</t>
        </is>
      </c>
      <c r="I7" t="inlineStr">
        <is>
          <t>Kaká</t>
        </is>
      </c>
      <c r="J7">
        <f>IF(OR($B7="",$B7&lt;&gt;PASSAPORTE!$B$4),"",COUNTIF($B$2:$B7,PASSAPORTE!$B$4))</f>
        <v/>
      </c>
    </row>
    <row r="8">
      <c r="A8" t="inlineStr">
        <is>
          <t>EVE-002</t>
        </is>
      </c>
      <c r="B8" t="inlineStr">
        <is>
          <t>2026-09-20</t>
        </is>
      </c>
      <c r="C8" t="inlineStr">
        <is>
          <t>ATV-002</t>
        </is>
      </c>
      <c r="D8" t="inlineStr">
        <is>
          <t>Ocorrência Resolvida</t>
        </is>
      </c>
      <c r="E8" t="inlineStr">
        <is>
          <t>OCO-004</t>
        </is>
      </c>
      <c r="F8" t="inlineStr">
        <is>
          <t>Revisão concluída</t>
        </is>
      </c>
      <c r="G8" t="inlineStr">
        <is>
          <t>Aberta</t>
        </is>
      </c>
      <c r="H8" t="inlineStr">
        <is>
          <t>Resolvida</t>
        </is>
      </c>
      <c r="I8" t="inlineStr">
        <is>
          <t>Estagiário</t>
        </is>
      </c>
      <c r="J8">
        <f>IF(OR($B8="",$B8&lt;&gt;PASSAPORTE!$B$4),"",COUNTIF($B$2:$B8,PASSAPORTE!$B$4))</f>
        <v/>
      </c>
    </row>
    <row r="9">
      <c r="A9" t="inlineStr">
        <is>
          <t>EVE-001</t>
        </is>
      </c>
      <c r="B9" t="inlineStr">
        <is>
          <t>2026-07-15</t>
        </is>
      </c>
      <c r="C9" t="inlineStr">
        <is>
          <t>ATV-001</t>
        </is>
      </c>
      <c r="D9" t="inlineStr">
        <is>
          <t>Inspeção</t>
        </is>
      </c>
      <c r="E9" t="inlineStr">
        <is>
          <t>INS-001</t>
        </is>
      </c>
      <c r="F9" t="inlineStr">
        <is>
          <t>Inspeção inicial</t>
        </is>
      </c>
      <c r="G9" t="inlineStr">
        <is>
          <t>—</t>
        </is>
      </c>
      <c r="H9" t="inlineStr">
        <is>
          <t>A</t>
        </is>
      </c>
      <c r="I9" t="inlineStr">
        <is>
          <t>Kaká</t>
        </is>
      </c>
      <c r="J9">
        <f>IF(OR($B9="",$B9&lt;&gt;PASSAPORTE!$B$4),"",COUNTIF($B$2:$B9,PASSAPORTE!$B$4))</f>
        <v/>
      </c>
    </row>
  </sheetData>
  <autoFilter ref="A1:I200"/>
  <dataValidations count="1">
    <dataValidation sqref="D2:D500" showDropDown="0" showInputMessage="0" showErrorMessage="1" allowBlank="1" errorTitle="Valor inválido" error="Escolha um valor da lista." type="list">
      <formula1>"Inspeção,Mudança Subativo,Ocorrência Aberta,Ocorrência Resolvida,Pneu Instalado,Pneu Condenado,Ativo Bloqueado,Ativo Liberado,Devolução Locador,Troca de Locador,Vencimento Documento"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70" customWidth="1" min="3" max="3"/>
  </cols>
  <sheetData>
    <row r="1" ht="34" customHeight="1">
      <c r="A1" s="32" t="inlineStr">
        <is>
          <t>LEGENDA  ·  GLOSSÁRIO E REGRAS</t>
        </is>
      </c>
    </row>
    <row r="2" ht="10" customHeight="1"/>
    <row r="3" ht="24" customHeight="1">
      <c r="A3" s="40" t="inlineStr">
        <is>
          <t>1. CLASSIFICAÇÃO DO ATIVO (A/B/C/D)</t>
        </is>
      </c>
    </row>
    <row r="4" ht="20" customHeight="1">
      <c r="A4" s="41" t="inlineStr">
        <is>
          <t>A — APTO</t>
        </is>
      </c>
      <c r="B4" s="37" t="inlineStr">
        <is>
          <t>Verde</t>
        </is>
      </c>
      <c r="C4" s="18" t="inlineStr">
        <is>
          <t>Operacional, seguro, sem pendência relevante.</t>
        </is>
      </c>
    </row>
    <row r="5" ht="20" customHeight="1">
      <c r="A5" s="41" t="inlineStr">
        <is>
          <t>B — APTO COM PENDÊNCIA</t>
        </is>
      </c>
      <c r="B5" s="37" t="inlineStr">
        <is>
          <t>Azul</t>
        </is>
      </c>
      <c r="C5" s="18" t="inlineStr">
        <is>
          <t>Pode operar, mas possui intervenção programável.</t>
        </is>
      </c>
    </row>
    <row r="6" ht="20" customHeight="1">
      <c r="A6" s="41" t="inlineStr">
        <is>
          <t>C — CRÍTICO</t>
        </is>
      </c>
      <c r="B6" s="37" t="inlineStr">
        <is>
          <t>Laranja</t>
        </is>
      </c>
      <c r="C6" s="18" t="inlineStr">
        <is>
          <t>Risco significativo de indisponibilidade.</t>
        </is>
      </c>
    </row>
    <row r="7" ht="20" customHeight="1">
      <c r="A7" s="41" t="inlineStr">
        <is>
          <t>D — INAPTO</t>
        </is>
      </c>
      <c r="B7" s="37" t="inlineStr">
        <is>
          <t>Vermelho</t>
        </is>
      </c>
      <c r="C7" s="18" t="inlineStr">
        <is>
          <t>Risco incompatível com operação; bloqueio técnico.</t>
        </is>
      </c>
    </row>
    <row r="9" ht="24" customHeight="1">
      <c r="A9" s="40" t="inlineStr">
        <is>
          <t>2. ESTADO DE SUBATIVO</t>
        </is>
      </c>
    </row>
    <row r="10" ht="20" customHeight="1">
      <c r="A10" s="41" t="inlineStr">
        <is>
          <t>Funcional</t>
        </is>
      </c>
      <c r="B10" s="37" t="inlineStr">
        <is>
          <t>Verde</t>
        </is>
      </c>
      <c r="C10" s="18" t="inlineStr">
        <is>
          <t>Operando normalmente.</t>
        </is>
      </c>
    </row>
    <row r="11" ht="20" customHeight="1">
      <c r="A11" s="41" t="inlineStr">
        <is>
          <t>Degradado</t>
        </is>
      </c>
      <c r="B11" s="37" t="inlineStr">
        <is>
          <t>Laranja</t>
        </is>
      </c>
      <c r="C11" s="18" t="inlineStr">
        <is>
          <t>Opera, mas com desgaste ou falha programável.</t>
        </is>
      </c>
    </row>
    <row r="12" ht="20" customHeight="1">
      <c r="A12" s="41" t="inlineStr">
        <is>
          <t>Inoperante</t>
        </is>
      </c>
      <c r="B12" s="37" t="inlineStr">
        <is>
          <t>Vermelho</t>
        </is>
      </c>
      <c r="C12" s="18" t="inlineStr">
        <is>
          <t>Não opera; requer intervenção imediata.</t>
        </is>
      </c>
    </row>
    <row r="14" ht="24" customHeight="1">
      <c r="A14" s="40" t="inlineStr">
        <is>
          <t>3. STATUS DE PNEU</t>
        </is>
      </c>
    </row>
    <row r="15" ht="20" customHeight="1">
      <c r="A15" s="41" t="inlineStr">
        <is>
          <t>Instalado</t>
        </is>
      </c>
      <c r="B15" s="37" t="inlineStr">
        <is>
          <t>Verde</t>
        </is>
      </c>
      <c r="C15" s="18" t="inlineStr">
        <is>
          <t>Em uso no veículo.</t>
        </is>
      </c>
    </row>
    <row r="16" ht="20" customHeight="1">
      <c r="A16" s="41" t="inlineStr">
        <is>
          <t>Estoque</t>
        </is>
      </c>
      <c r="B16" s="37" t="inlineStr">
        <is>
          <t>Azul</t>
        </is>
      </c>
      <c r="C16" s="18" t="inlineStr">
        <is>
          <t>Disponível para uso.</t>
        </is>
      </c>
    </row>
    <row r="17" ht="20" customHeight="1">
      <c r="A17" s="41" t="inlineStr">
        <is>
          <t>Condenado</t>
        </is>
      </c>
      <c r="B17" s="37" t="inlineStr">
        <is>
          <t>Vermelho</t>
        </is>
      </c>
      <c r="C17" s="18" t="inlineStr">
        <is>
          <t>Fora de uso; descarte ou recapagem.</t>
        </is>
      </c>
    </row>
    <row r="19" ht="24" customHeight="1">
      <c r="A19" s="40" t="inlineStr">
        <is>
          <t>4. STATUS DE OCORRÊNCIA</t>
        </is>
      </c>
    </row>
    <row r="20" ht="20" customHeight="1">
      <c r="A20" s="41" t="inlineStr">
        <is>
          <t>Aberta</t>
        </is>
      </c>
      <c r="B20" s="37" t="inlineStr">
        <is>
          <t>Vermelho</t>
        </is>
      </c>
      <c r="C20" s="18" t="inlineStr">
        <is>
          <t>Registrada, sem tratativa iniciada.</t>
        </is>
      </c>
    </row>
    <row r="21" ht="20" customHeight="1">
      <c r="A21" s="41" t="inlineStr">
        <is>
          <t>Em Correção</t>
        </is>
      </c>
      <c r="B21" s="37" t="inlineStr">
        <is>
          <t>Laranja</t>
        </is>
      </c>
      <c r="C21" s="18" t="inlineStr">
        <is>
          <t>Em tratativa.</t>
        </is>
      </c>
    </row>
    <row r="22" ht="20" customHeight="1">
      <c r="A22" s="41" t="inlineStr">
        <is>
          <t>Resolvida</t>
        </is>
      </c>
      <c r="B22" s="37" t="inlineStr">
        <is>
          <t>Verde</t>
        </is>
      </c>
      <c r="C22" s="18" t="inlineStr">
        <is>
          <t>Finalizada.</t>
        </is>
      </c>
    </row>
    <row r="24" ht="24" customHeight="1">
      <c r="A24" s="40" t="inlineStr">
        <is>
          <t>5. GRAVIDADE DE OCORRÊNCIA</t>
        </is>
      </c>
    </row>
    <row r="25" ht="20" customHeight="1">
      <c r="A25" s="41" t="inlineStr">
        <is>
          <t>Baixa</t>
        </is>
      </c>
      <c r="B25" s="37" t="inlineStr">
        <is>
          <t>Cinza</t>
        </is>
      </c>
      <c r="C25" s="18" t="inlineStr">
        <is>
          <t>Sem impacto imediato.</t>
        </is>
      </c>
    </row>
    <row r="26" ht="20" customHeight="1">
      <c r="A26" s="41" t="inlineStr">
        <is>
          <t>Média</t>
        </is>
      </c>
      <c r="B26" s="37" t="inlineStr">
        <is>
          <t>Amarelo</t>
        </is>
      </c>
      <c r="C26" s="18" t="inlineStr">
        <is>
          <t>Atenção; pode evoluir.</t>
        </is>
      </c>
    </row>
    <row r="27" ht="20" customHeight="1">
      <c r="A27" s="41" t="inlineStr">
        <is>
          <t>Alta</t>
        </is>
      </c>
      <c r="B27" s="37" t="inlineStr">
        <is>
          <t>Laranja</t>
        </is>
      </c>
      <c r="C27" s="18" t="inlineStr">
        <is>
          <t>Prioridade; impacto operacional.</t>
        </is>
      </c>
    </row>
    <row r="28" ht="20" customHeight="1">
      <c r="A28" s="41" t="inlineStr">
        <is>
          <t>Crítica</t>
        </is>
      </c>
      <c r="B28" s="37" t="inlineStr">
        <is>
          <t>Vermelho</t>
        </is>
      </c>
      <c r="C28" s="18" t="inlineStr">
        <is>
          <t>Risco imediato; ação urgente.</t>
        </is>
      </c>
    </row>
    <row r="30" ht="24" customHeight="1">
      <c r="A30" s="42" t="inlineStr">
        <is>
          <t>6. REGRAS DE OURO</t>
        </is>
      </c>
    </row>
    <row r="31" ht="20" customHeight="1">
      <c r="A31" s="18" t="inlineStr">
        <is>
          <t>•  Estado atual SOBRESCREVE. Histórico sempre ADICIONA.</t>
        </is>
      </c>
    </row>
    <row r="32" ht="20" customHeight="1">
      <c r="A32" s="18" t="inlineStr">
        <is>
          <t>•  Nunca apague linhas de INSPECOES ou EVENTOS.</t>
        </is>
      </c>
    </row>
    <row r="33" ht="20" customHeight="1">
      <c r="A33" s="18" t="inlineStr">
        <is>
          <t>•  Toda mudança de classificação exige linha em INSPECOES e EVENTOS.</t>
        </is>
      </c>
    </row>
    <row r="34" ht="20" customHeight="1">
      <c r="A34" s="18" t="inlineStr">
        <is>
          <t>•  Toda mudança de subativo, pneu ou ocorrência gera linha em EVENTOS.</t>
        </is>
      </c>
    </row>
    <row r="35" ht="20" customHeight="1">
      <c r="A35" s="18" t="inlineStr">
        <is>
          <t>•  Antes de alterar, confira o ID do ativo. Erro de ID quebra as conexões.</t>
        </is>
      </c>
    </row>
    <row r="36" ht="20" customHeight="1">
      <c r="A36" s="18" t="inlineStr">
        <is>
          <t>•  Se algo parecer errado, verifique se há espaços extras nos IDs.</t>
        </is>
      </c>
    </row>
  </sheetData>
  <mergeCells count="13">
    <mergeCell ref="A19:C19"/>
    <mergeCell ref="A33:C33"/>
    <mergeCell ref="A36:C36"/>
    <mergeCell ref="A1:C1"/>
    <mergeCell ref="A32:C32"/>
    <mergeCell ref="A14:C14"/>
    <mergeCell ref="A31:C31"/>
    <mergeCell ref="A9:C9"/>
    <mergeCell ref="A3:C3"/>
    <mergeCell ref="A30:C30"/>
    <mergeCell ref="A34:C34"/>
    <mergeCell ref="A35:C35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2026-09-28T18:22:59Z</dcterms:created>
  <dcterms:modified xsi:type="dcterms:W3CDTF">2026-09-28T18:22:59Z</dcterms:modified>
</cp:coreProperties>
</file>