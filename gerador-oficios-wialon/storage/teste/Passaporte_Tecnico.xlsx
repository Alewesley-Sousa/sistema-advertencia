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PA" sheetId="1" state="visible" r:id="rId3"/>
    <sheet name="PASSAPORTE" sheetId="2" state="visible" r:id="rId4"/>
    <sheet name="RESUMO" sheetId="3" state="visible" r:id="rId5"/>
    <sheet name="ATIVO_PAI" sheetId="4" state="visible" r:id="rId6"/>
    <sheet name="SUBATIVOS" sheetId="5" state="visible" r:id="rId7"/>
    <sheet name="PNEUS" sheetId="6" state="visible" r:id="rId8"/>
    <sheet name="OCORRENCIAS" sheetId="7" state="visible" r:id="rId9"/>
    <sheet name="INSPECOES" sheetId="8" state="visible" r:id="rId10"/>
    <sheet name="EVENTOS" sheetId="9" state="visible" r:id="rId11"/>
    <sheet name="LEGENDA" sheetId="10" state="visible" r:id="rId12"/>
  </sheets>
  <definedNames>
    <definedName function="false" hidden="true" localSheetId="3" name="_xlnm._FilterDatabase" vbProcedure="false">ATIVO_PAI!$A$1:$H$200</definedName>
    <definedName function="false" hidden="true" localSheetId="8" name="_xlnm._FilterDatabase" vbProcedure="false">EVENTOS!$A$1:$I$200</definedName>
    <definedName function="false" hidden="true" localSheetId="7" name="_xlnm._FilterDatabase" vbProcedure="false">INSPECOES!$A$1:$H$200</definedName>
    <definedName function="false" hidden="true" localSheetId="6" name="_xlnm._FilterDatabase" vbProcedure="false">OCORRENCIAS!$A$1:$G$200</definedName>
    <definedName function="false" hidden="false" localSheetId="1" name="_xlnm.Print_Titles" vbProcedure="false">PASSAPORTE!$1:$4</definedName>
    <definedName function="false" hidden="true" localSheetId="5" name="_xlnm._FilterDatabase" vbProcedure="false">PNEUS!$A$1:$G$200</definedName>
    <definedName function="false" hidden="true" localSheetId="4" name="_xlnm._FilterDatabase" vbProcedure="false">SUBATIVOS!$A$1:$G$200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<sst xmlns="http://schemas.openxmlformats.org/spreadsheetml/2006/main" count="737" uniqueCount="326">
  <si>
    <t xml:space="preserve">FORCE  ·  GESTÃO DE ATIVOS E OPERAÇÕES</t>
  </si>
  <si>
    <t xml:space="preserve">Painel de Controle  ·  Passaporte Técnico do Ativo</t>
  </si>
  <si>
    <t xml:space="preserve">TOTAL DE ATIVOS</t>
  </si>
  <si>
    <t xml:space="preserve">ATIVOS CRÍTICOS (C+D)</t>
  </si>
  <si>
    <t xml:space="preserve">ALERTAS ABERTOS</t>
  </si>
  <si>
    <t xml:space="preserve">INSPEÇÕES REGISTRADAS</t>
  </si>
  <si>
    <t xml:space="preserve">ATALHOS RÁPIDOS</t>
  </si>
  <si>
    <t xml:space="preserve">🪪  Abrir Passaporte</t>
  </si>
  <si>
    <t xml:space="preserve">📊  Ver Resumo</t>
  </si>
  <si>
    <t xml:space="preserve">📚  Ver Legenda</t>
  </si>
  <si>
    <t xml:space="preserve">📅  Ver Inspeções</t>
  </si>
  <si>
    <t xml:space="preserve">ÚLTIMAS INSPEÇÕES REGISTRADAS</t>
  </si>
  <si>
    <t xml:space="preserve">Insp_ID</t>
  </si>
  <si>
    <t xml:space="preserve">Data</t>
  </si>
  <si>
    <t xml:space="preserve">Ativo</t>
  </si>
  <si>
    <t xml:space="preserve">Inspetor</t>
  </si>
  <si>
    <t xml:space="preserve">Antes</t>
  </si>
  <si>
    <t xml:space="preserve">Depois</t>
  </si>
  <si>
    <t xml:space="preserve">Km</t>
  </si>
  <si>
    <t xml:space="preserve">Resumo</t>
  </si>
  <si>
    <t xml:space="preserve">COMO USAR ESTA PLANILHA</t>
  </si>
  <si>
    <t xml:space="preserve">1.  Selecione um ativo no dropdown do PASSAPORTE para ver a ficha completa.</t>
  </si>
  <si>
    <t xml:space="preserve">2.  Quando o Kaká faz uma inspeção, registre em INSPECOES e atualize ATIVO_PAI.</t>
  </si>
  <si>
    <t xml:space="preserve">3.  Toda mudança relevante (subativo, pneu, ocorrência) gera linha em EVENTOS.</t>
  </si>
  <si>
    <t xml:space="preserve">4.  O RESUMO mostra a situação geral e as pendências. Use a aba ALERTAS.</t>
  </si>
  <si>
    <t xml:space="preserve">5.  Classificações, status e tipos estão explicados na aba LEGENDA.</t>
  </si>
  <si>
    <t xml:space="preserve">6.  Nunca apague linhas de INSPECOES e EVENTOS. Histórico é sempre adicionado.</t>
  </si>
  <si>
    <t xml:space="preserve">PASSAPORTE TÉCNICO DO ATIVO</t>
  </si>
  <si>
    <t xml:space="preserve">FORCE   ·   Gestão de Ativos e Operações   ·   Documento de Controle Patrimonial</t>
  </si>
  <si>
    <t xml:space="preserve">SELECIONE O ATIVO</t>
  </si>
  <si>
    <t xml:space="preserve">ATV-003</t>
  </si>
  <si>
    <t xml:space="preserve">STATUS GERAL</t>
  </si>
  <si>
    <t xml:space="preserve">  1.   IDENTIFICAÇÃO DO ATIVO</t>
  </si>
  <si>
    <t xml:space="preserve">Asset ID</t>
  </si>
  <si>
    <t xml:space="preserve">Placa</t>
  </si>
  <si>
    <t xml:space="preserve">Tipo</t>
  </si>
  <si>
    <t xml:space="preserve">Próprio/Locado</t>
  </si>
  <si>
    <t xml:space="preserve">Locador</t>
  </si>
  <si>
    <t xml:space="preserve">Km/Horímetro</t>
  </si>
  <si>
    <t xml:space="preserve">Classificação</t>
  </si>
  <si>
    <t xml:space="preserve">Data da inspeção</t>
  </si>
  <si>
    <t xml:space="preserve">  2.   HISTÓRICO DE INSPEÇÕES (5 mais recentes)</t>
  </si>
  <si>
    <t xml:space="preserve">Class_Antes</t>
  </si>
  <si>
    <t xml:space="preserve">Class_Depois</t>
  </si>
  <si>
    <t xml:space="preserve">  3.   ÚLTIMOS EVENTOS (5 mais recentes)</t>
  </si>
  <si>
    <t xml:space="preserve">Evento_ID</t>
  </si>
  <si>
    <t xml:space="preserve">Descrição</t>
  </si>
  <si>
    <t xml:space="preserve">  4.   SUBATIVOS</t>
  </si>
  <si>
    <t xml:space="preserve">Sub_ID</t>
  </si>
  <si>
    <t xml:space="preserve">Nome</t>
  </si>
  <si>
    <t xml:space="preserve">Estado</t>
  </si>
  <si>
    <t xml:space="preserve">Ação</t>
  </si>
  <si>
    <t xml:space="preserve">Prioridade</t>
  </si>
  <si>
    <t xml:space="preserve">  5.   PNEUS</t>
  </si>
  <si>
    <t xml:space="preserve">Pneu_ID</t>
  </si>
  <si>
    <t xml:space="preserve">Posição</t>
  </si>
  <si>
    <t xml:space="preserve">Marca</t>
  </si>
  <si>
    <t xml:space="preserve">Medida</t>
  </si>
  <si>
    <t xml:space="preserve">Sulco</t>
  </si>
  <si>
    <t xml:space="preserve">Status</t>
  </si>
  <si>
    <t xml:space="preserve">  6.   OCORRÊNCIAS</t>
  </si>
  <si>
    <t xml:space="preserve">Oco_ID</t>
  </si>
  <si>
    <t xml:space="preserve">Gravidade</t>
  </si>
  <si>
    <t xml:space="preserve">  7.   REGISTRO FOTOGRÁFICO</t>
  </si>
  <si>
    <t xml:space="preserve">(inserir aqui as fotos da inspeção ou links das evidências)</t>
  </si>
  <si>
    <t xml:space="preserve">________________________________________</t>
  </si>
  <si>
    <t xml:space="preserve">Kaká — Inspeção Técnica</t>
  </si>
  <si>
    <t xml:space="preserve">Estagiário — Registro Administrativo</t>
  </si>
  <si>
    <t xml:space="preserve">RESUMO GERAL</t>
  </si>
  <si>
    <t xml:space="preserve">Indicador</t>
  </si>
  <si>
    <t xml:space="preserve">Valor</t>
  </si>
  <si>
    <t xml:space="preserve">Total de ativos</t>
  </si>
  <si>
    <t xml:space="preserve">Ativos classe A</t>
  </si>
  <si>
    <t xml:space="preserve">Ativos classe B</t>
  </si>
  <si>
    <t xml:space="preserve">Ativos classe C</t>
  </si>
  <si>
    <t xml:space="preserve">Ativos classe D</t>
  </si>
  <si>
    <t xml:space="preserve">Ocorrências abertas</t>
  </si>
  <si>
    <t xml:space="preserve">Subativos degradados</t>
  </si>
  <si>
    <t xml:space="preserve">Subativos inoperantes</t>
  </si>
  <si>
    <t xml:space="preserve">Pneus condenados</t>
  </si>
  <si>
    <t xml:space="preserve">Inspeções registradas</t>
  </si>
  <si>
    <t xml:space="preserve">Eventos registrados</t>
  </si>
  <si>
    <t xml:space="preserve">PENDÊNCIAS POR ATIVO</t>
  </si>
  <si>
    <t xml:space="preserve">Asset_ID</t>
  </si>
  <si>
    <t xml:space="preserve">Ocor. Abertas</t>
  </si>
  <si>
    <t xml:space="preserve">Subat. Degradados</t>
  </si>
  <si>
    <t xml:space="preserve">Pneus Condenados</t>
  </si>
  <si>
    <t xml:space="preserve">Status Geral</t>
  </si>
  <si>
    <t xml:space="preserve">ATV-001</t>
  </si>
  <si>
    <t xml:space="preserve">ATV-002</t>
  </si>
  <si>
    <t xml:space="preserve">ATV-004</t>
  </si>
  <si>
    <t xml:space="preserve">ATV-005</t>
  </si>
  <si>
    <t xml:space="preserve">ALERTAS — OCORRÊNCIAS ABERTAS</t>
  </si>
  <si>
    <t xml:space="preserve">Proprio_Locado</t>
  </si>
  <si>
    <t xml:space="preserve">Km/Horimetro</t>
  </si>
  <si>
    <t xml:space="preserve">Classificacao</t>
  </si>
  <si>
    <t xml:space="preserve">Data_Inspecao</t>
  </si>
  <si>
    <t xml:space="preserve">ABC1D23</t>
  </si>
  <si>
    <t xml:space="preserve">Cavalo</t>
  </si>
  <si>
    <t xml:space="preserve">Locado</t>
  </si>
  <si>
    <t xml:space="preserve">Locadora X</t>
  </si>
  <si>
    <t xml:space="preserve">B</t>
  </si>
  <si>
    <t xml:space="preserve">2026-09-28</t>
  </si>
  <si>
    <t xml:space="preserve">DEF4G56</t>
  </si>
  <si>
    <t xml:space="preserve">Carreta</t>
  </si>
  <si>
    <t xml:space="preserve">Próprio</t>
  </si>
  <si>
    <t xml:space="preserve">A</t>
  </si>
  <si>
    <t xml:space="preserve">GHI7J89</t>
  </si>
  <si>
    <t xml:space="preserve">Van</t>
  </si>
  <si>
    <t xml:space="preserve">Locadora Y</t>
  </si>
  <si>
    <t xml:space="preserve">C</t>
  </si>
  <si>
    <t xml:space="preserve">2026-09-27</t>
  </si>
  <si>
    <t xml:space="preserve">JKL0M12</t>
  </si>
  <si>
    <t xml:space="preserve">Gerador</t>
  </si>
  <si>
    <t xml:space="preserve">D</t>
  </si>
  <si>
    <t xml:space="preserve">2026-09-26</t>
  </si>
  <si>
    <t xml:space="preserve">MNO3P45</t>
  </si>
  <si>
    <t xml:space="preserve">Moto</t>
  </si>
  <si>
    <t xml:space="preserve">2026-09-25</t>
  </si>
  <si>
    <t xml:space="preserve">Acao</t>
  </si>
  <si>
    <t xml:space="preserve">SUB-001</t>
  </si>
  <si>
    <t xml:space="preserve">Motor</t>
  </si>
  <si>
    <t xml:space="preserve">Funcional</t>
  </si>
  <si>
    <t xml:space="preserve">Nenhuma</t>
  </si>
  <si>
    <t xml:space="preserve">Baixa</t>
  </si>
  <si>
    <t xml:space="preserve">SUB-002</t>
  </si>
  <si>
    <t xml:space="preserve">Câmbio</t>
  </si>
  <si>
    <t xml:space="preserve">SUB-003</t>
  </si>
  <si>
    <t xml:space="preserve">Freios</t>
  </si>
  <si>
    <t xml:space="preserve">Degradado</t>
  </si>
  <si>
    <t xml:space="preserve">Trocar pastilhas</t>
  </si>
  <si>
    <t xml:space="preserve">Média</t>
  </si>
  <si>
    <t xml:space="preserve">SUB-004</t>
  </si>
  <si>
    <t xml:space="preserve">SUB-005</t>
  </si>
  <si>
    <t xml:space="preserve">SUB-006</t>
  </si>
  <si>
    <t xml:space="preserve">Suspensão</t>
  </si>
  <si>
    <t xml:space="preserve">SUB-007</t>
  </si>
  <si>
    <t xml:space="preserve">Revisar injeção</t>
  </si>
  <si>
    <t xml:space="preserve">SUB-008</t>
  </si>
  <si>
    <t xml:space="preserve">Trocar discos</t>
  </si>
  <si>
    <t xml:space="preserve">Alta</t>
  </si>
  <si>
    <t xml:space="preserve">SUB-009</t>
  </si>
  <si>
    <t xml:space="preserve">Elétrica</t>
  </si>
  <si>
    <t xml:space="preserve">SUB-010</t>
  </si>
  <si>
    <t xml:space="preserve">Inoperante</t>
  </si>
  <si>
    <t xml:space="preserve">Diagnóstico urgente</t>
  </si>
  <si>
    <t xml:space="preserve">SUB-011</t>
  </si>
  <si>
    <t xml:space="preserve">Bateria</t>
  </si>
  <si>
    <t xml:space="preserve">Substituir</t>
  </si>
  <si>
    <t xml:space="preserve">SUB-012</t>
  </si>
  <si>
    <t xml:space="preserve">Alternador</t>
  </si>
  <si>
    <t xml:space="preserve">Revisar</t>
  </si>
  <si>
    <t xml:space="preserve">SUB-013</t>
  </si>
  <si>
    <t xml:space="preserve">SUB-014</t>
  </si>
  <si>
    <t xml:space="preserve">SUB-015</t>
  </si>
  <si>
    <t xml:space="preserve">Pneus</t>
  </si>
  <si>
    <t xml:space="preserve">Posicao</t>
  </si>
  <si>
    <t xml:space="preserve">PNE-001</t>
  </si>
  <si>
    <t xml:space="preserve">1E</t>
  </si>
  <si>
    <t xml:space="preserve">Michelin</t>
  </si>
  <si>
    <t xml:space="preserve">295/80</t>
  </si>
  <si>
    <t xml:space="preserve">Instalado</t>
  </si>
  <si>
    <t xml:space="preserve">PNE-002</t>
  </si>
  <si>
    <t xml:space="preserve">1D</t>
  </si>
  <si>
    <t xml:space="preserve">PNE-003</t>
  </si>
  <si>
    <t xml:space="preserve">2E</t>
  </si>
  <si>
    <t xml:space="preserve">PNE-004</t>
  </si>
  <si>
    <t xml:space="preserve">2D</t>
  </si>
  <si>
    <t xml:space="preserve">PNE-005</t>
  </si>
  <si>
    <t xml:space="preserve">3E</t>
  </si>
  <si>
    <t xml:space="preserve">Bridgestone</t>
  </si>
  <si>
    <t xml:space="preserve">PNE-006</t>
  </si>
  <si>
    <t xml:space="preserve">3D</t>
  </si>
  <si>
    <t xml:space="preserve">PNE-007</t>
  </si>
  <si>
    <t xml:space="preserve">Pirelli</t>
  </si>
  <si>
    <t xml:space="preserve">PNE-008</t>
  </si>
  <si>
    <t xml:space="preserve">PNE-009</t>
  </si>
  <si>
    <t xml:space="preserve">PNE-010</t>
  </si>
  <si>
    <t xml:space="preserve">PNE-011</t>
  </si>
  <si>
    <t xml:space="preserve">Goodyear</t>
  </si>
  <si>
    <t xml:space="preserve">225/75</t>
  </si>
  <si>
    <t xml:space="preserve">PNE-012</t>
  </si>
  <si>
    <t xml:space="preserve">PNE-013</t>
  </si>
  <si>
    <t xml:space="preserve">Condenado</t>
  </si>
  <si>
    <t xml:space="preserve">PNE-014</t>
  </si>
  <si>
    <t xml:space="preserve">PNE-015</t>
  </si>
  <si>
    <t xml:space="preserve">-</t>
  </si>
  <si>
    <t xml:space="preserve">PNE-016</t>
  </si>
  <si>
    <t xml:space="preserve">PNE-017</t>
  </si>
  <si>
    <t xml:space="preserve">120/70</t>
  </si>
  <si>
    <t xml:space="preserve">PNE-018</t>
  </si>
  <si>
    <t xml:space="preserve">PNE-019</t>
  </si>
  <si>
    <t xml:space="preserve">Estoque</t>
  </si>
  <si>
    <t xml:space="preserve">PNE-020</t>
  </si>
  <si>
    <t xml:space="preserve">Descricao</t>
  </si>
  <si>
    <t xml:space="preserve">OCO-001</t>
  </si>
  <si>
    <t xml:space="preserve">Avaria</t>
  </si>
  <si>
    <t xml:space="preserve">Para-choque trincado</t>
  </si>
  <si>
    <t xml:space="preserve">Aberta</t>
  </si>
  <si>
    <t xml:space="preserve">OCO-002</t>
  </si>
  <si>
    <t xml:space="preserve">Pendência</t>
  </si>
  <si>
    <t xml:space="preserve">Documento CRLV vencendo</t>
  </si>
  <si>
    <t xml:space="preserve">OCO-003</t>
  </si>
  <si>
    <t xml:space="preserve">Falha</t>
  </si>
  <si>
    <t xml:space="preserve">Vazamento de óleo</t>
  </si>
  <si>
    <t xml:space="preserve">Em Correção</t>
  </si>
  <si>
    <t xml:space="preserve">OCO-004</t>
  </si>
  <si>
    <t xml:space="preserve">Revisão dos 80.000 km</t>
  </si>
  <si>
    <t xml:space="preserve">Resolvida</t>
  </si>
  <si>
    <t xml:space="preserve">2026-09-20</t>
  </si>
  <si>
    <t xml:space="preserve">OCO-005</t>
  </si>
  <si>
    <t xml:space="preserve">Risco na porta lateral</t>
  </si>
  <si>
    <t xml:space="preserve">2026-09-15</t>
  </si>
  <si>
    <t xml:space="preserve">OCO-006</t>
  </si>
  <si>
    <t xml:space="preserve">Luz de injeção acesa</t>
  </si>
  <si>
    <t xml:space="preserve">OCO-007</t>
  </si>
  <si>
    <t xml:space="preserve">Para-brisa trincado</t>
  </si>
  <si>
    <t xml:space="preserve">OCO-008</t>
  </si>
  <si>
    <t xml:space="preserve">Freio traseiro fraco</t>
  </si>
  <si>
    <t xml:space="preserve">OCO-009</t>
  </si>
  <si>
    <t xml:space="preserve">Seguro a vencer</t>
  </si>
  <si>
    <t xml:space="preserve">2026-09-24</t>
  </si>
  <si>
    <t xml:space="preserve">OCO-010</t>
  </si>
  <si>
    <t xml:space="preserve">Amassado lateral direita</t>
  </si>
  <si>
    <t xml:space="preserve">2026-09-10</t>
  </si>
  <si>
    <t xml:space="preserve">OCO-011</t>
  </si>
  <si>
    <t xml:space="preserve">Não liga</t>
  </si>
  <si>
    <t xml:space="preserve">Crítica</t>
  </si>
  <si>
    <t xml:space="preserve">OCO-012</t>
  </si>
  <si>
    <t xml:space="preserve">Bateria descarregando</t>
  </si>
  <si>
    <t xml:space="preserve">OCO-013</t>
  </si>
  <si>
    <t xml:space="preserve">Alternador com ruído</t>
  </si>
  <si>
    <t xml:space="preserve">OCO-014</t>
  </si>
  <si>
    <t xml:space="preserve">Manutenção preventiva atrasada</t>
  </si>
  <si>
    <t xml:space="preserve">2026-09-22</t>
  </si>
  <si>
    <t xml:space="preserve">OCO-015</t>
  </si>
  <si>
    <t xml:space="preserve">Painel com falha de leitura</t>
  </si>
  <si>
    <t xml:space="preserve">OCO-016</t>
  </si>
  <si>
    <t xml:space="preserve">Retrovisor quebrado</t>
  </si>
  <si>
    <t xml:space="preserve">2026-09-18</t>
  </si>
  <si>
    <t xml:space="preserve">OCO-017</t>
  </si>
  <si>
    <t xml:space="preserve">Troca de óleo agendada</t>
  </si>
  <si>
    <t xml:space="preserve">2026-09-19</t>
  </si>
  <si>
    <t xml:space="preserve">OCO-018</t>
  </si>
  <si>
    <t xml:space="preserve">Farol baixo queimado</t>
  </si>
  <si>
    <t xml:space="preserve">OCO-019</t>
  </si>
  <si>
    <t xml:space="preserve">Pneu dianteiro esvaziando</t>
  </si>
  <si>
    <t xml:space="preserve">OCO-020</t>
  </si>
  <si>
    <t xml:space="preserve">Ar-condicionado sem gelar</t>
  </si>
  <si>
    <t xml:space="preserve">Inspecionado_Por</t>
  </si>
  <si>
    <t xml:space="preserve">Km_Horimetro</t>
  </si>
  <si>
    <t xml:space="preserve">INS-006</t>
  </si>
  <si>
    <t xml:space="preserve">Kaká</t>
  </si>
  <si>
    <t xml:space="preserve">Motor travou; bloqueio técnico</t>
  </si>
  <si>
    <t xml:space="preserve">INS-005</t>
  </si>
  <si>
    <t xml:space="preserve">Freios e injeção degradaram</t>
  </si>
  <si>
    <t xml:space="preserve">INS-004</t>
  </si>
  <si>
    <t xml:space="preserve">Sem alteração</t>
  </si>
  <si>
    <t xml:space="preserve">INS-003</t>
  </si>
  <si>
    <t xml:space="preserve">INS-002</t>
  </si>
  <si>
    <t xml:space="preserve">Freios degradados</t>
  </si>
  <si>
    <t xml:space="preserve">INS-001</t>
  </si>
  <si>
    <t xml:space="preserve">2026-07-15</t>
  </si>
  <si>
    <t xml:space="preserve">—</t>
  </si>
  <si>
    <t xml:space="preserve">Inspeção inicial</t>
  </si>
  <si>
    <t xml:space="preserve">Ref_ID</t>
  </si>
  <si>
    <t xml:space="preserve">Responsavel</t>
  </si>
  <si>
    <t xml:space="preserve">EVE-008</t>
  </si>
  <si>
    <t xml:space="preserve">Inspeção</t>
  </si>
  <si>
    <t xml:space="preserve">Classificação A → B</t>
  </si>
  <si>
    <t xml:space="preserve">EVE-007</t>
  </si>
  <si>
    <t xml:space="preserve">Mudança Subativo</t>
  </si>
  <si>
    <t xml:space="preserve">Freios: Funcional → Degradado</t>
  </si>
  <si>
    <t xml:space="preserve">EVE-006</t>
  </si>
  <si>
    <t xml:space="preserve">Ocorrência Aberta</t>
  </si>
  <si>
    <t xml:space="preserve">EVE-005</t>
  </si>
  <si>
    <t xml:space="preserve">Classificação B → C</t>
  </si>
  <si>
    <t xml:space="preserve">EVE-004</t>
  </si>
  <si>
    <t xml:space="preserve">Ativo Bloqueado</t>
  </si>
  <si>
    <t xml:space="preserve">Classificação C → D</t>
  </si>
  <si>
    <t xml:space="preserve">EVE-003</t>
  </si>
  <si>
    <t xml:space="preserve">EVE-002</t>
  </si>
  <si>
    <t xml:space="preserve">Ocorrência Resolvida</t>
  </si>
  <si>
    <t xml:space="preserve">Revisão concluída</t>
  </si>
  <si>
    <t xml:space="preserve">Estagiário</t>
  </si>
  <si>
    <t xml:space="preserve">EVE-001</t>
  </si>
  <si>
    <t xml:space="preserve">LEGENDA  ·  GLOSSÁRIO E REGRAS</t>
  </si>
  <si>
    <t xml:space="preserve">1. CLASSIFICAÇÃO DO ATIVO (A/B/C/D)</t>
  </si>
  <si>
    <t xml:space="preserve">A — APTO</t>
  </si>
  <si>
    <t xml:space="preserve">Verde</t>
  </si>
  <si>
    <t xml:space="preserve">Operacional, seguro, sem pendência relevante.</t>
  </si>
  <si>
    <t xml:space="preserve">B — APTO COM PENDÊNCIA</t>
  </si>
  <si>
    <t xml:space="preserve">Azul</t>
  </si>
  <si>
    <t xml:space="preserve">Pode operar, mas possui intervenção programável.</t>
  </si>
  <si>
    <t xml:space="preserve">C — CRÍTICO</t>
  </si>
  <si>
    <t xml:space="preserve">Laranja</t>
  </si>
  <si>
    <t xml:space="preserve">Risco significativo de indisponibilidade.</t>
  </si>
  <si>
    <t xml:space="preserve">D — INAPTO</t>
  </si>
  <si>
    <t xml:space="preserve">Vermelho</t>
  </si>
  <si>
    <t xml:space="preserve">Risco incompatível com operação; bloqueio técnico.</t>
  </si>
  <si>
    <t xml:space="preserve">2. ESTADO DE SUBATIVO</t>
  </si>
  <si>
    <t xml:space="preserve">Operando normalmente.</t>
  </si>
  <si>
    <t xml:space="preserve">Opera, mas com desgaste ou falha programável.</t>
  </si>
  <si>
    <t xml:space="preserve">Não opera; requer intervenção imediata.</t>
  </si>
  <si>
    <t xml:space="preserve">3. STATUS DE PNEU</t>
  </si>
  <si>
    <t xml:space="preserve">Em uso no veículo.</t>
  </si>
  <si>
    <t xml:space="preserve">Disponível para uso.</t>
  </si>
  <si>
    <t xml:space="preserve">Fora de uso; descarte ou recapagem.</t>
  </si>
  <si>
    <t xml:space="preserve">4. STATUS DE OCORRÊNCIA</t>
  </si>
  <si>
    <t xml:space="preserve">Registrada, sem tratativa iniciada.</t>
  </si>
  <si>
    <t xml:space="preserve">Em tratativa.</t>
  </si>
  <si>
    <t xml:space="preserve">Finalizada.</t>
  </si>
  <si>
    <t xml:space="preserve">5. GRAVIDADE DE OCORRÊNCIA</t>
  </si>
  <si>
    <t xml:space="preserve">Cinza</t>
  </si>
  <si>
    <t xml:space="preserve">Sem impacto imediato.</t>
  </si>
  <si>
    <t xml:space="preserve">Amarelo</t>
  </si>
  <si>
    <t xml:space="preserve">Atenção; pode evoluir.</t>
  </si>
  <si>
    <t xml:space="preserve">Prioridade; impacto operacional.</t>
  </si>
  <si>
    <t xml:space="preserve">Risco imediato; ação urgente.</t>
  </si>
  <si>
    <t xml:space="preserve">6. REGRAS DE OURO</t>
  </si>
  <si>
    <t xml:space="preserve">•  Estado atual SOBRESCREVE. Histórico sempre ADICIONA.</t>
  </si>
  <si>
    <t xml:space="preserve">•  Nunca apague linhas de INSPECOES ou EVENTOS.</t>
  </si>
  <si>
    <t xml:space="preserve">•  Toda mudança de classificação exige linha em INSPECOES e EVENTOS.</t>
  </si>
  <si>
    <t xml:space="preserve">•  Toda mudança de subativo, pneu ou ocorrência gera linha em EVENTOS.</t>
  </si>
  <si>
    <t xml:space="preserve">•  Antes de alterar, confira o ID do ativo. Erro de ID quebra as conexões.</t>
  </si>
  <si>
    <t xml:space="preserve">•  Se algo parecer errado, verifique se há espaços extras nos IDs.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</si>
</sst>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libri"/>
      <family val="0"/>
    </font>
    <font>
      <i val="true"/>
      <sz val="12"/>
      <color theme="1"/>
      <name val="Calibri"/>
      <family val="0"/>
    </font>
    <font>
      <b val="true"/>
      <sz val="10"/>
      <color theme="1"/>
      <name val="Calibri"/>
      <family val="0"/>
    </font>
    <font>
      <b val="true"/>
      <sz val="26"/>
      <color theme="1"/>
      <name val="Calibri"/>
      <family val="0"/>
    </font>
    <font>
      <b val="true"/>
      <sz val="12"/>
      <color theme="1"/>
      <name val="Calibri"/>
      <family val="0"/>
    </font>
    <font>
      <b val="true"/>
      <u val="single"/>
      <sz val="11"/>
      <color theme="1"/>
      <name val="Calibri"/>
      <family val="0"/>
    </font>
    <font>
      <b val="true"/>
      <u val="single"/>
      <sz val="11"/>
      <color theme="1"/>
      <name val="Calibri"/>
      <family val="0"/>
    </font>
    <font>
      <sz val="10"/>
      <color theme="1"/>
      <name val="Calibri"/>
      <family val="0"/>
    </font>
    <font>
      <sz val="11"/>
      <color theme="1"/>
      <name val="Calibri"/>
      <family val="0"/>
    </font>
    <font>
      <i val="true"/>
      <sz val="10"/>
      <color theme="1"/>
      <name val="Calibri"/>
      <family val="0"/>
    </font>
    <font>
      <b val="true"/>
      <sz val="14"/>
      <color theme="1"/>
      <name val="Calibri"/>
      <family val="0"/>
    </font>
    <font>
      <b val="true"/>
      <sz val="14"/>
      <color theme="1"/>
      <name val="Calibri"/>
      <family val="0"/>
    </font>
    <font>
      <b val="true"/>
      <sz val="11"/>
      <color theme="1"/>
      <name val="Calibri"/>
      <family val="0"/>
    </font>
    <font>
      <b val="true"/>
      <sz val="11"/>
      <color theme="1"/>
      <name val="Calibri"/>
      <family val="0"/>
    </font>
    <font>
      <i val="true"/>
      <sz val="10"/>
      <color theme="1"/>
      <name val="Calibri"/>
      <family val="0"/>
    </font>
    <font>
      <i val="true"/>
      <sz val="10"/>
      <color theme="1"/>
      <name val="Calibri"/>
      <family val="0"/>
    </font>
    <font>
      <b val="true"/>
      <sz val="16"/>
      <color theme="1"/>
      <name val="Calibri"/>
      <family val="0"/>
    </font>
    <font>
      <b val="true"/>
      <sz val="11"/>
      <color theme="1"/>
      <name val="Calibri"/>
      <family val="0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9C0006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D9E2F3"/>
        <bgColor rgb="FFE4DFEC"/>
      </patternFill>
    </fill>
    <fill>
      <patternFill patternType="solid">
        <fgColor rgb="FFEEEEEE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595959"/>
        <bgColor rgb="FF1F4E78"/>
      </patternFill>
    </fill>
    <fill>
      <patternFill patternType="solid">
        <fgColor rgb="FFE4DFEC"/>
        <bgColor rgb="FFD9E2F3"/>
      </patternFill>
    </fill>
    <fill>
      <patternFill patternType="solid">
        <fgColor rgb="FF70AD47"/>
        <bgColor rgb="FF3399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EEEE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name val="Calibri"/>
        <family val="2"/>
        <color rgb="FF000000"/>
        <sz val="11"/>
      </font>
      <fill>
        <patternFill>
          <bgColor rgb="FFC00000"/>
        </patternFill>
      </fill>
    </dxf>
    <dxf>
      <font>
        <name val="Calibri"/>
        <family val="2"/>
        <color rgb="FF000000"/>
        <sz val="11"/>
      </font>
      <fill>
        <patternFill>
          <bgColor rgb="FFED7D31"/>
        </patternFill>
      </fill>
    </dxf>
    <dxf>
      <font>
        <name val="Calibri"/>
        <family val="2"/>
        <color rgb="FF000000"/>
        <sz val="11"/>
      </font>
      <fill>
        <patternFill>
          <bgColor rgb="FF70AD47"/>
        </patternFill>
      </fill>
    </dxf>
    <dxf>
      <font>
        <name val="Calibri"/>
        <family val="0"/>
        <b val="1"/>
        <color rgb="FF006100"/>
        <sz val="11"/>
      </font>
      <fill>
        <patternFill>
          <bgColor rgb="FFC6EFCE"/>
        </patternFill>
      </fill>
    </dxf>
    <dxf>
      <font>
        <name val="Calibri"/>
        <family val="0"/>
        <b val="1"/>
        <color rgb="FF1F4E78"/>
        <sz val="11"/>
      </font>
      <fill>
        <patternFill>
          <bgColor rgb="FFDDEBF7"/>
        </patternFill>
      </fill>
    </dxf>
    <dxf>
      <font>
        <name val="Calibri"/>
        <family val="0"/>
        <b val="1"/>
        <color rgb="FF9C6500"/>
        <sz val="11"/>
      </font>
      <fill>
        <patternFill>
          <bgColor rgb="FFFFEB9C"/>
        </patternFill>
      </fill>
    </dxf>
    <dxf>
      <font>
        <name val="Calibri"/>
        <family val="0"/>
        <b val="1"/>
        <color rgb="FF9C0006"/>
        <sz val="11"/>
      </font>
      <fill>
        <patternFill>
          <bgColor rgb="FFFFC7CE"/>
        </patternFill>
      </fill>
    </dxf>
    <dxf>
      <font>
        <name val="Calibri"/>
        <family val="0"/>
        <b val="1"/>
        <color rgb="FFFFFFFF"/>
        <sz val="11"/>
      </font>
      <fill>
        <patternFill>
          <bgColor rgb="FFC00000"/>
        </patternFill>
      </fill>
    </dxf>
    <dxf>
      <font>
        <name val="Calibri"/>
        <family val="0"/>
        <b val="1"/>
        <color rgb="FFFFFFFF"/>
        <sz val="11"/>
      </font>
      <fill>
        <patternFill>
          <bgColor rgb="FFED7D31"/>
        </patternFill>
      </fill>
    </dxf>
    <dxf>
      <font>
        <name val="Calibri"/>
        <family val="0"/>
        <b val="1"/>
        <color rgb="FFFFFFFF"/>
        <sz val="11"/>
      </font>
      <fill>
        <patternFill>
          <bgColor rgb="FF70AD47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127622"/>
      <rgbColor rgb="FF000080"/>
      <rgbColor rgb="FF9C6500"/>
      <rgbColor rgb="FF800080"/>
      <rgbColor rgb="FF008080"/>
      <rgbColor rgb="FFE4DFEC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6EFCE"/>
      <rgbColor rgb="FFFFEB9C"/>
      <rgbColor rgb="FFF2F2F2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61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assaporte_Tecnico.xlsx" TargetMode="External"/><Relationship Id="rId2" Type="http://schemas.openxmlformats.org/officeDocument/2006/relationships/hyperlink" Target="Passaporte_Tecnico.xlsx" TargetMode="External"/><Relationship Id="rId3" Type="http://schemas.openxmlformats.org/officeDocument/2006/relationships/hyperlink" Target="Passaporte_Tecnico.xlsx" TargetMode="External"/><Relationship Id="rId4" Type="http://schemas.openxmlformats.org/officeDocument/2006/relationships/hyperlink" Target="Passaporte_Tecnico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2" activeCellId="0" sqref="B12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2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</row>
    <row r="5" customFormat="false" ht="42" hidden="false" customHeight="true" outlineLevel="0" collapsed="false">
      <c r="A5" s="7" t="n">
        <f aca="false">COUNTA(ATIVO_PAI!A2:A1000)</f>
        <v>5</v>
      </c>
      <c r="B5" s="7"/>
      <c r="C5" s="7" t="n">
        <f aca="false">COUNTIF(ATIVO_PAI!G2:G1000,"C")+COUNTIF(ATIVO_PAI!G2:G1000,"D")</f>
        <v>2</v>
      </c>
      <c r="D5" s="7"/>
      <c r="E5" s="7" t="n">
        <f aca="false">COUNTIF(OCORRENCIAS!F2:F1000,"Aberta")</f>
        <v>11</v>
      </c>
      <c r="F5" s="7"/>
      <c r="G5" s="7" t="n">
        <f aca="false">COUNTA(INSPECOES!A2:A1000)</f>
        <v>6</v>
      </c>
      <c r="H5" s="7"/>
    </row>
    <row r="6" customFormat="false" ht="13.5" hidden="false" customHeight="true" outlineLevel="0" collapsed="false"/>
    <row r="7" customFormat="false" ht="24" hidden="false" customHeight="true" outlineLevel="0" collapsed="false">
      <c r="A7" s="8" t="s">
        <v>6</v>
      </c>
      <c r="B7" s="8"/>
      <c r="C7" s="8"/>
      <c r="D7" s="8"/>
      <c r="E7" s="8"/>
      <c r="F7" s="8"/>
      <c r="G7" s="8"/>
      <c r="H7" s="8"/>
    </row>
    <row r="8" customFormat="false" ht="31.5" hidden="false" customHeight="true" outlineLevel="0" collapsed="false">
      <c r="A8" s="9" t="s">
        <v>7</v>
      </c>
      <c r="B8" s="9"/>
      <c r="C8" s="10" t="s">
        <v>8</v>
      </c>
      <c r="D8" s="10"/>
      <c r="E8" s="9" t="s">
        <v>9</v>
      </c>
      <c r="F8" s="9"/>
      <c r="G8" s="11" t="s">
        <v>10</v>
      </c>
      <c r="H8" s="11"/>
    </row>
    <row r="9" customFormat="false" ht="13.5" hidden="false" customHeight="true" outlineLevel="0" collapsed="false"/>
    <row r="10" customFormat="false" ht="24" hidden="false" customHeight="true" outlineLevel="0" collapsed="false">
      <c r="A10" s="12" t="s">
        <v>11</v>
      </c>
      <c r="B10" s="12"/>
      <c r="C10" s="12"/>
      <c r="D10" s="12"/>
      <c r="E10" s="12"/>
      <c r="F10" s="12"/>
      <c r="G10" s="12"/>
      <c r="H10" s="12"/>
    </row>
    <row r="11" customFormat="false" ht="19.5" hidden="false" customHeight="true" outlineLevel="0" collapsed="false">
      <c r="A11" s="13" t="s">
        <v>12</v>
      </c>
      <c r="B11" s="13" t="s">
        <v>13</v>
      </c>
      <c r="C11" s="13" t="s">
        <v>14</v>
      </c>
      <c r="D11" s="13" t="s">
        <v>15</v>
      </c>
      <c r="E11" s="13" t="s">
        <v>16</v>
      </c>
      <c r="F11" s="13" t="s">
        <v>17</v>
      </c>
      <c r="G11" s="13" t="s">
        <v>18</v>
      </c>
      <c r="H11" s="13" t="s">
        <v>19</v>
      </c>
    </row>
    <row r="12" customFormat="false" ht="18" hidden="false" customHeight="true" outlineLevel="0" collapsed="false">
      <c r="A12" s="14" t="str">
        <f aca="false">IFERROR(INSPECOES!A1,"")</f>
        <v>Insp_ID</v>
      </c>
      <c r="B12" s="14" t="str">
        <f aca="false">IFERROR(INSPECOES!C1,"")</f>
        <v>Data</v>
      </c>
      <c r="C12" s="14" t="str">
        <f aca="false">IFERROR(INSPECOES!B1,"")</f>
        <v>Asset_ID</v>
      </c>
      <c r="D12" s="14" t="str">
        <f aca="false">IFERROR(INSPECOES!D1,"")</f>
        <v>Inspecionado_Por</v>
      </c>
      <c r="E12" s="14" t="str">
        <f aca="false">IFERROR(INSPECOES!E1,"")</f>
        <v>Class_Antes</v>
      </c>
      <c r="F12" s="14" t="str">
        <f aca="false">IFERROR(INSPECOES!F1,"")</f>
        <v>Class_Depois</v>
      </c>
      <c r="G12" s="14" t="str">
        <f aca="false">IFERROR(INSPECOES!G1,"")</f>
        <v>Km_Horimetro</v>
      </c>
      <c r="H12" s="14" t="str">
        <f aca="false">IFERROR(INSPECOES!H1,"")</f>
        <v>Resumo</v>
      </c>
    </row>
    <row r="13" customFormat="false" ht="18" hidden="false" customHeight="true" outlineLevel="0" collapsed="false">
      <c r="A13" s="15" t="str">
        <f aca="false">IFERROR(INSPECOES!A2,"")</f>
        <v>INS-006</v>
      </c>
      <c r="B13" s="15" t="str">
        <f aca="false">IFERROR(INSPECOES!C2,"")</f>
        <v>2026-09-26</v>
      </c>
      <c r="C13" s="15" t="str">
        <f aca="false">IFERROR(INSPECOES!B2,"")</f>
        <v>ATV-004</v>
      </c>
      <c r="D13" s="15" t="str">
        <f aca="false">IFERROR(INSPECOES!D2,"")</f>
        <v>Kaká</v>
      </c>
      <c r="E13" s="15" t="str">
        <f aca="false">IFERROR(INSPECOES!E2,"")</f>
        <v>C</v>
      </c>
      <c r="F13" s="15" t="str">
        <f aca="false">IFERROR(INSPECOES!F2,"")</f>
        <v>D</v>
      </c>
      <c r="G13" s="15" t="n">
        <f aca="false">IFERROR(INSPECOES!G2,"")</f>
        <v>4200</v>
      </c>
      <c r="H13" s="15" t="str">
        <f aca="false">IFERROR(INSPECOES!H2,"")</f>
        <v>Motor travou; bloqueio técnico</v>
      </c>
    </row>
    <row r="14" customFormat="false" ht="18" hidden="false" customHeight="true" outlineLevel="0" collapsed="false">
      <c r="A14" s="14" t="str">
        <f aca="false">IFERROR(INSPECOES!A3,"")</f>
        <v>INS-005</v>
      </c>
      <c r="B14" s="14" t="str">
        <f aca="false">IFERROR(INSPECOES!C3,"")</f>
        <v>2026-09-27</v>
      </c>
      <c r="C14" s="14" t="str">
        <f aca="false">IFERROR(INSPECOES!B3,"")</f>
        <v>ATV-003</v>
      </c>
      <c r="D14" s="14" t="str">
        <f aca="false">IFERROR(INSPECOES!D3,"")</f>
        <v>Kaká</v>
      </c>
      <c r="E14" s="14" t="str">
        <f aca="false">IFERROR(INSPECOES!E3,"")</f>
        <v>B</v>
      </c>
      <c r="F14" s="14" t="str">
        <f aca="false">IFERROR(INSPECOES!F3,"")</f>
        <v>C</v>
      </c>
      <c r="G14" s="14" t="n">
        <f aca="false">IFERROR(INSPECOES!G3,"")</f>
        <v>98750</v>
      </c>
      <c r="H14" s="14" t="str">
        <f aca="false">IFERROR(INSPECOES!H3,"")</f>
        <v>Freios e injeção degradaram</v>
      </c>
    </row>
    <row r="15" customFormat="false" ht="18" hidden="false" customHeight="true" outlineLevel="0" collapsed="false">
      <c r="A15" s="15" t="str">
        <f aca="false">IFERROR(INSPECOES!A4,"")</f>
        <v>INS-004</v>
      </c>
      <c r="B15" s="15" t="str">
        <f aca="false">IFERROR(INSPECOES!C4,"")</f>
        <v>2026-09-25</v>
      </c>
      <c r="C15" s="15" t="str">
        <f aca="false">IFERROR(INSPECOES!B4,"")</f>
        <v>ATV-005</v>
      </c>
      <c r="D15" s="15" t="str">
        <f aca="false">IFERROR(INSPECOES!D4,"")</f>
        <v>Kaká</v>
      </c>
      <c r="E15" s="15" t="str">
        <f aca="false">IFERROR(INSPECOES!E4,"")</f>
        <v>A</v>
      </c>
      <c r="F15" s="15" t="str">
        <f aca="false">IFERROR(INSPECOES!F4,"")</f>
        <v>A</v>
      </c>
      <c r="G15" s="15" t="n">
        <f aca="false">IFERROR(INSPECOES!G4,"")</f>
        <v>18400</v>
      </c>
      <c r="H15" s="15" t="str">
        <f aca="false">IFERROR(INSPECOES!H4,"")</f>
        <v>Sem alteração</v>
      </c>
    </row>
    <row r="16" customFormat="false" ht="18" hidden="false" customHeight="true" outlineLevel="0" collapsed="false">
      <c r="A16" s="14" t="str">
        <f aca="false">IFERROR(INSPECOES!A5,"")</f>
        <v>INS-003</v>
      </c>
      <c r="B16" s="14" t="str">
        <f aca="false">IFERROR(INSPECOES!C5,"")</f>
        <v>2026-09-28</v>
      </c>
      <c r="C16" s="14" t="str">
        <f aca="false">IFERROR(INSPECOES!B5,"")</f>
        <v>ATV-002</v>
      </c>
      <c r="D16" s="14" t="str">
        <f aca="false">IFERROR(INSPECOES!D5,"")</f>
        <v>Kaká</v>
      </c>
      <c r="E16" s="14" t="str">
        <f aca="false">IFERROR(INSPECOES!E5,"")</f>
        <v>A</v>
      </c>
      <c r="F16" s="14" t="str">
        <f aca="false">IFERROR(INSPECOES!F5,"")</f>
        <v>A</v>
      </c>
      <c r="G16" s="14" t="n">
        <f aca="false">IFERROR(INSPECOES!G5,"")</f>
        <v>82300</v>
      </c>
      <c r="H16" s="14" t="str">
        <f aca="false">IFERROR(INSPECOES!H5,"")</f>
        <v>Sem alteração</v>
      </c>
    </row>
    <row r="17" customFormat="false" ht="13.5" hidden="false" customHeight="true" outlineLevel="0" collapsed="false"/>
    <row r="18" customFormat="false" ht="24" hidden="false" customHeight="true" outlineLevel="0" collapsed="false">
      <c r="A18" s="16" t="s">
        <v>20</v>
      </c>
      <c r="B18" s="16"/>
      <c r="C18" s="16"/>
      <c r="D18" s="16"/>
      <c r="E18" s="16"/>
      <c r="F18" s="16"/>
      <c r="G18" s="16"/>
      <c r="H18" s="16"/>
    </row>
    <row r="19" customFormat="false" ht="19.5" hidden="false" customHeight="true" outlineLevel="0" collapsed="false">
      <c r="A19" s="17" t="s">
        <v>21</v>
      </c>
      <c r="B19" s="17"/>
      <c r="C19" s="17"/>
      <c r="D19" s="17"/>
      <c r="E19" s="17"/>
      <c r="F19" s="17"/>
      <c r="G19" s="17"/>
      <c r="H19" s="17"/>
    </row>
    <row r="20" customFormat="false" ht="19.5" hidden="false" customHeight="true" outlineLevel="0" collapsed="false">
      <c r="A20" s="17" t="s">
        <v>22</v>
      </c>
      <c r="B20" s="17"/>
      <c r="C20" s="17"/>
      <c r="D20" s="17"/>
      <c r="E20" s="17"/>
      <c r="F20" s="17"/>
      <c r="G20" s="17"/>
      <c r="H20" s="17"/>
    </row>
    <row r="21" customFormat="false" ht="19.5" hidden="false" customHeight="true" outlineLevel="0" collapsed="false">
      <c r="A21" s="17" t="s">
        <v>23</v>
      </c>
      <c r="B21" s="17"/>
      <c r="C21" s="17"/>
      <c r="D21" s="17"/>
      <c r="E21" s="17"/>
      <c r="F21" s="17"/>
      <c r="G21" s="17"/>
      <c r="H21" s="17"/>
    </row>
    <row r="22" customFormat="false" ht="19.5" hidden="false" customHeight="true" outlineLevel="0" collapsed="false">
      <c r="A22" s="17" t="s">
        <v>24</v>
      </c>
      <c r="B22" s="17"/>
      <c r="C22" s="17"/>
      <c r="D22" s="17"/>
      <c r="E22" s="17"/>
      <c r="F22" s="17"/>
      <c r="G22" s="17"/>
      <c r="H22" s="17"/>
    </row>
    <row r="23" customFormat="false" ht="19.5" hidden="false" customHeight="true" outlineLevel="0" collapsed="false">
      <c r="A23" s="17" t="s">
        <v>25</v>
      </c>
      <c r="B23" s="17"/>
      <c r="C23" s="17"/>
      <c r="D23" s="17"/>
      <c r="E23" s="17"/>
      <c r="F23" s="17"/>
      <c r="G23" s="17"/>
      <c r="H23" s="17"/>
    </row>
    <row r="24" customFormat="false" ht="19.5" hidden="false" customHeight="true" outlineLevel="0" collapsed="false">
      <c r="A24" s="17" t="s">
        <v>26</v>
      </c>
      <c r="B24" s="17"/>
      <c r="C24" s="17"/>
      <c r="D24" s="17"/>
      <c r="E24" s="17"/>
      <c r="F24" s="17"/>
      <c r="G24" s="17"/>
      <c r="H24" s="17"/>
    </row>
  </sheetData>
  <mergeCells count="23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H7"/>
    <mergeCell ref="A8:B8"/>
    <mergeCell ref="C8:D8"/>
    <mergeCell ref="E8:F8"/>
    <mergeCell ref="G8:H8"/>
    <mergeCell ref="A10:H10"/>
    <mergeCell ref="A18:H18"/>
    <mergeCell ref="A19:H19"/>
    <mergeCell ref="A20:H20"/>
    <mergeCell ref="A21:H21"/>
    <mergeCell ref="A22:H22"/>
    <mergeCell ref="A23:H23"/>
    <mergeCell ref="A24:H24"/>
  </mergeCells>
  <hyperlinks>
    <hyperlink ref="A8" r:id="rId1" location="PASSAPORTE!A1" display="🪪  Abrir Passaporte"/>
    <hyperlink ref="C8" r:id="rId2" location="RESUMO!A1" display="📊  Ver Resumo"/>
    <hyperlink ref="E8" r:id="rId3" location="LEGENDA!A1" display="📚  Ver Legenda"/>
    <hyperlink ref="G8" r:id="rId4" location="INSPECOES!A1" display="📅  Ver Inspeçõ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F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20" activeCellId="0" sqref="C20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5" min="5" style="0" width="24"/>
    <col collapsed="false" customWidth="true" hidden="false" outlineLevel="0" max="6" min="6" style="0" width="16"/>
  </cols>
  <sheetData>
    <row r="1" customFormat="false" ht="37.5" hidden="false" customHeight="true" outlineLevel="0" collapsed="false">
      <c r="A1" s="1" t="s">
        <v>27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18" t="s">
        <v>28</v>
      </c>
      <c r="B2" s="18"/>
      <c r="C2" s="18"/>
      <c r="D2" s="18"/>
      <c r="E2" s="18"/>
      <c r="F2" s="18"/>
    </row>
    <row r="3" customFormat="false" ht="6" hidden="false" customHeight="true" outlineLevel="0" collapsed="false"/>
    <row r="4" customFormat="false" ht="31.5" hidden="false" customHeight="true" outlineLevel="0" collapsed="false">
      <c r="A4" s="19" t="s">
        <v>29</v>
      </c>
      <c r="B4" s="20" t="s">
        <v>30</v>
      </c>
      <c r="C4" s="20"/>
      <c r="D4" s="19" t="s">
        <v>31</v>
      </c>
      <c r="E4" s="21" t="str">
        <f aca="false">IF(OR(VLOOKUP($B$4,ATIVO_PAI!A:H,7,0)="D",COUNTIFS(SUBATIVOS!B:B,$B$4,SUBATIVOS!D:D,"Inoperante")&gt;0,COUNTIFS(PNEUS!B:B,$B$4,PNEUS!G:G,"Condenado")&gt;0),"Crítico",IF(OR(VLOOKUP($B$4,ATIVO_PAI!A:H,7,0)="C",COUNTIFS(OCORRENCIAS!B:B,$B$4,OCORRENCIAS!F:F,"Aberta")&gt;0,COUNTIFS(SUBATIVOS!B:B,$B$4,SUBATIVOS!D:D,"Degradado")&gt;0),"Atenção","OK"))</f>
        <v>Crítico</v>
      </c>
      <c r="F4" s="21"/>
    </row>
    <row r="5" customFormat="false" ht="7.5" hidden="false" customHeight="true" outlineLevel="0" collapsed="false"/>
    <row r="6" customFormat="false" ht="25.5" hidden="false" customHeight="true" outlineLevel="0" collapsed="false">
      <c r="A6" s="22" t="s">
        <v>32</v>
      </c>
      <c r="B6" s="22"/>
      <c r="C6" s="22"/>
      <c r="D6" s="22"/>
      <c r="E6" s="22"/>
      <c r="F6" s="22"/>
    </row>
    <row r="7" customFormat="false" ht="21.75" hidden="false" customHeight="true" outlineLevel="0" collapsed="false">
      <c r="A7" s="23" t="s">
        <v>33</v>
      </c>
      <c r="B7" s="24" t="str">
        <f aca="false">IFERROR(VLOOKUP($B$4,ATIVO_PAI!A:H,1,0),"")</f>
        <v>ATV-003</v>
      </c>
      <c r="C7" s="24"/>
      <c r="D7" s="24"/>
      <c r="E7" s="24"/>
      <c r="F7" s="25"/>
    </row>
    <row r="8" customFormat="false" ht="21.75" hidden="false" customHeight="true" outlineLevel="0" collapsed="false">
      <c r="A8" s="23" t="s">
        <v>34</v>
      </c>
      <c r="B8" s="24" t="str">
        <f aca="false">IFERROR(VLOOKUP($B$4,ATIVO_PAI!A:H,2,0),"")</f>
        <v>GHI7J89</v>
      </c>
      <c r="C8" s="24"/>
      <c r="D8" s="24"/>
      <c r="E8" s="24"/>
      <c r="F8" s="25"/>
    </row>
    <row r="9" customFormat="false" ht="21.75" hidden="false" customHeight="true" outlineLevel="0" collapsed="false">
      <c r="A9" s="23" t="s">
        <v>35</v>
      </c>
      <c r="B9" s="24" t="str">
        <f aca="false">IFERROR(VLOOKUP($B$4,ATIVO_PAI!A:H,3,0),"")</f>
        <v>Van</v>
      </c>
      <c r="C9" s="24"/>
      <c r="D9" s="24"/>
      <c r="E9" s="24"/>
      <c r="F9" s="25"/>
    </row>
    <row r="10" customFormat="false" ht="21.75" hidden="false" customHeight="true" outlineLevel="0" collapsed="false">
      <c r="A10" s="23" t="s">
        <v>36</v>
      </c>
      <c r="B10" s="24" t="str">
        <f aca="false">IFERROR(VLOOKUP($B$4,ATIVO_PAI!A:H,4,0),"")</f>
        <v>Locado</v>
      </c>
      <c r="C10" s="24"/>
      <c r="D10" s="24"/>
      <c r="E10" s="24"/>
      <c r="F10" s="25"/>
    </row>
    <row r="11" customFormat="false" ht="21.75" hidden="false" customHeight="true" outlineLevel="0" collapsed="false">
      <c r="A11" s="23" t="s">
        <v>37</v>
      </c>
      <c r="B11" s="26" t="str">
        <f aca="false">IFERROR(VLOOKUP($B$4,ATIVO_PAI!A:H,5,0),"")</f>
        <v>Locadora Y</v>
      </c>
      <c r="C11" s="26"/>
      <c r="D11" s="26"/>
      <c r="E11" s="26"/>
      <c r="F11" s="25"/>
    </row>
    <row r="12" customFormat="false" ht="21.75" hidden="false" customHeight="true" outlineLevel="0" collapsed="false">
      <c r="A12" s="23" t="s">
        <v>38</v>
      </c>
      <c r="B12" s="24" t="n">
        <f aca="false">IFERROR(VLOOKUP($B$4,ATIVO_PAI!A:H,6,0),"")</f>
        <v>98750</v>
      </c>
      <c r="C12" s="24"/>
      <c r="D12" s="24"/>
      <c r="E12" s="24"/>
      <c r="F12" s="25"/>
    </row>
    <row r="13" customFormat="false" ht="21.75" hidden="false" customHeight="true" outlineLevel="0" collapsed="false">
      <c r="A13" s="23" t="s">
        <v>39</v>
      </c>
      <c r="B13" s="24" t="str">
        <f aca="false">IFERROR(VLOOKUP($B$4,ATIVO_PAI!A:H,7,0),"")</f>
        <v>C</v>
      </c>
      <c r="C13" s="24"/>
      <c r="D13" s="24"/>
      <c r="E13" s="24"/>
      <c r="F13" s="25"/>
    </row>
    <row r="14" customFormat="false" ht="21.75" hidden="false" customHeight="true" outlineLevel="0" collapsed="false">
      <c r="A14" s="23" t="s">
        <v>40</v>
      </c>
      <c r="B14" s="24" t="str">
        <f aca="false">IFERROR(VLOOKUP($B$4,ATIVO_PAI!A:H,8,0),"")</f>
        <v>2026-09-27</v>
      </c>
      <c r="C14" s="24"/>
      <c r="D14" s="24"/>
      <c r="E14" s="24"/>
      <c r="F14" s="25"/>
    </row>
    <row r="15" customFormat="false" ht="7.5" hidden="false" customHeight="true" outlineLevel="0" collapsed="false"/>
    <row r="16" customFormat="false" ht="25.5" hidden="false" customHeight="true" outlineLevel="0" collapsed="false">
      <c r="A16" s="27" t="s">
        <v>41</v>
      </c>
      <c r="B16" s="27"/>
      <c r="C16" s="27"/>
      <c r="D16" s="27"/>
      <c r="E16" s="27"/>
      <c r="F16" s="27"/>
    </row>
    <row r="17" customFormat="false" ht="21.75" hidden="false" customHeight="true" outlineLevel="0" collapsed="false">
      <c r="A17" s="28" t="s">
        <v>12</v>
      </c>
      <c r="B17" s="28" t="s">
        <v>13</v>
      </c>
      <c r="C17" s="28" t="s">
        <v>15</v>
      </c>
      <c r="D17" s="28" t="s">
        <v>42</v>
      </c>
      <c r="E17" s="28" t="s">
        <v>43</v>
      </c>
      <c r="F17" s="28" t="s">
        <v>18</v>
      </c>
    </row>
    <row r="18" customFormat="false" ht="18" hidden="false" customHeight="true" outlineLevel="0" collapsed="false">
      <c r="A18" s="14" t="str">
        <f aca="false">IFERROR(INDEX(INSPECOES!A:A,MATCH(1,INSPECOES!$I:$I,0)),"")</f>
        <v>INS-005</v>
      </c>
      <c r="B18" s="14" t="str">
        <f aca="false">IFERROR(INDEX(INSPECOES!C:C,MATCH(1,INSPECOES!$I:$I,0)),"")</f>
        <v>2026-09-27</v>
      </c>
      <c r="C18" s="14" t="str">
        <f aca="false">IFERROR(INDEX(INSPECOES!D:D,MATCH(1,INSPECOES!$I:$I,0)),"")</f>
        <v>Kaká</v>
      </c>
      <c r="D18" s="14" t="str">
        <f aca="false">IFERROR(INDEX(INSPECOES!E:E,MATCH(1,INSPECOES!$I:$I,0)),"")</f>
        <v>B</v>
      </c>
      <c r="E18" s="14" t="str">
        <f aca="false">IFERROR(INDEX(INSPECOES!F:F,MATCH(1,INSPECOES!$I:$I,0)),"")</f>
        <v>C</v>
      </c>
      <c r="F18" s="14" t="n">
        <f aca="false">IFERROR(INDEX(INSPECOES!G:G,MATCH(1,INSPECOES!$I:$I,0)),"")</f>
        <v>98750</v>
      </c>
    </row>
    <row r="19" customFormat="false" ht="18" hidden="false" customHeight="true" outlineLevel="0" collapsed="false">
      <c r="A19" s="15" t="str">
        <f aca="false">IFERROR(INDEX(INSPECOES!A:A,MATCH(2,INSPECOES!$I:$I,0)),"")</f>
        <v/>
      </c>
      <c r="B19" s="15" t="str">
        <f aca="false">IFERROR(INDEX(INSPECOES!C:C,MATCH(2,INSPECOES!$I:$I,0)),"")</f>
        <v/>
      </c>
      <c r="C19" s="15" t="str">
        <f aca="false">IFERROR(INDEX(INSPECOES!D:D,MATCH(2,INSPECOES!$I:$I,0)),"")</f>
        <v/>
      </c>
      <c r="D19" s="15" t="str">
        <f aca="false">IFERROR(INDEX(INSPECOES!E:E,MATCH(2,INSPECOES!$I:$I,0)),"")</f>
        <v/>
      </c>
      <c r="E19" s="15" t="str">
        <f aca="false">IFERROR(INDEX(INSPECOES!F:F,MATCH(2,INSPECOES!$I:$I,0)),"")</f>
        <v/>
      </c>
      <c r="F19" s="15" t="str">
        <f aca="false">IFERROR(INDEX(INSPECOES!G:G,MATCH(2,INSPECOES!$I:$I,0)),"")</f>
        <v/>
      </c>
    </row>
    <row r="20" customFormat="false" ht="18" hidden="false" customHeight="true" outlineLevel="0" collapsed="false">
      <c r="A20" s="14" t="str">
        <f aca="false">IFERROR(INDEX(INSPECOES!A:A,MATCH(3,INSPECOES!$I:$I,0)),"")</f>
        <v/>
      </c>
      <c r="B20" s="14" t="str">
        <f aca="false">IFERROR(INDEX(INSPECOES!C:C,MATCH(3,INSPECOES!$I:$I,0)),"")</f>
        <v/>
      </c>
      <c r="C20" s="14" t="str">
        <f aca="false">IFERROR(INDEX(INSPECOES!D:D,MATCH(3,INSPECOES!$I:$I,0)),"")</f>
        <v/>
      </c>
      <c r="D20" s="14" t="str">
        <f aca="false">IFERROR(INDEX(INSPECOES!E:E,MATCH(3,INSPECOES!$I:$I,0)),"")</f>
        <v/>
      </c>
      <c r="E20" s="14" t="str">
        <f aca="false">IFERROR(INDEX(INSPECOES!F:F,MATCH(3,INSPECOES!$I:$I,0)),"")</f>
        <v/>
      </c>
      <c r="F20" s="14" t="str">
        <f aca="false">IFERROR(INDEX(INSPECOES!G:G,MATCH(3,INSPECOES!$I:$I,0)),"")</f>
        <v/>
      </c>
    </row>
    <row r="21" customFormat="false" ht="18" hidden="false" customHeight="true" outlineLevel="0" collapsed="false">
      <c r="A21" s="15" t="str">
        <f aca="false">IFERROR(INDEX(INSPECOES!A:A,MATCH(4,INSPECOES!$I:$I,0)),"")</f>
        <v/>
      </c>
      <c r="B21" s="15" t="str">
        <f aca="false">IFERROR(INDEX(INSPECOES!C:C,MATCH(4,INSPECOES!$I:$I,0)),"")</f>
        <v/>
      </c>
      <c r="C21" s="15" t="str">
        <f aca="false">IFERROR(INDEX(INSPECOES!D:D,MATCH(4,INSPECOES!$I:$I,0)),"")</f>
        <v/>
      </c>
      <c r="D21" s="15" t="str">
        <f aca="false">IFERROR(INDEX(INSPECOES!E:E,MATCH(4,INSPECOES!$I:$I,0)),"")</f>
        <v/>
      </c>
      <c r="E21" s="15" t="str">
        <f aca="false">IFERROR(INDEX(INSPECOES!F:F,MATCH(4,INSPECOES!$I:$I,0)),"")</f>
        <v/>
      </c>
      <c r="F21" s="15" t="str">
        <f aca="false">IFERROR(INDEX(INSPECOES!G:G,MATCH(4,INSPECOES!$I:$I,0)),"")</f>
        <v/>
      </c>
    </row>
    <row r="22" customFormat="false" ht="18" hidden="false" customHeight="true" outlineLevel="0" collapsed="false">
      <c r="A22" s="14" t="str">
        <f aca="false">IFERROR(INDEX(INSPECOES!A:A,MATCH(5,INSPECOES!$I:$I,0)),"")</f>
        <v/>
      </c>
      <c r="B22" s="14" t="str">
        <f aca="false">IFERROR(INDEX(INSPECOES!C:C,MATCH(5,INSPECOES!$I:$I,0)),"")</f>
        <v/>
      </c>
      <c r="C22" s="14" t="str">
        <f aca="false">IFERROR(INDEX(INSPECOES!D:D,MATCH(5,INSPECOES!$I:$I,0)),"")</f>
        <v/>
      </c>
      <c r="D22" s="14" t="str">
        <f aca="false">IFERROR(INDEX(INSPECOES!E:E,MATCH(5,INSPECOES!$I:$I,0)),"")</f>
        <v/>
      </c>
      <c r="E22" s="14" t="str">
        <f aca="false">IFERROR(INDEX(INSPECOES!F:F,MATCH(5,INSPECOES!$I:$I,0)),"")</f>
        <v/>
      </c>
      <c r="F22" s="14" t="str">
        <f aca="false">IFERROR(INDEX(INSPECOES!G:G,MATCH(5,INSPECOES!$I:$I,0)),"")</f>
        <v/>
      </c>
    </row>
    <row r="23" customFormat="false" ht="7.5" hidden="false" customHeight="true" outlineLevel="0" collapsed="false"/>
    <row r="24" customFormat="false" ht="25.5" hidden="false" customHeight="true" outlineLevel="0" collapsed="false">
      <c r="A24" s="27" t="s">
        <v>44</v>
      </c>
      <c r="B24" s="27"/>
      <c r="C24" s="27"/>
      <c r="D24" s="27"/>
      <c r="E24" s="27"/>
      <c r="F24" s="27"/>
    </row>
    <row r="25" customFormat="false" ht="21.75" hidden="false" customHeight="true" outlineLevel="0" collapsed="false">
      <c r="A25" s="28" t="s">
        <v>45</v>
      </c>
      <c r="B25" s="28" t="s">
        <v>13</v>
      </c>
      <c r="C25" s="28" t="s">
        <v>35</v>
      </c>
      <c r="D25" s="28" t="s">
        <v>46</v>
      </c>
      <c r="E25" s="28" t="s">
        <v>16</v>
      </c>
      <c r="F25" s="28" t="s">
        <v>17</v>
      </c>
    </row>
    <row r="26" customFormat="false" ht="18" hidden="false" customHeight="true" outlineLevel="0" collapsed="false">
      <c r="A26" s="14" t="str">
        <f aca="false">IFERROR(INDEX(EVENTOS!A:A,MATCH(1,EVENTOS!$J:$J,0)),"")</f>
        <v/>
      </c>
      <c r="B26" s="14" t="str">
        <f aca="false">IFERROR(INDEX(EVENTOS!B:B,MATCH(1,EVENTOS!$J:$J,0)),"")</f>
        <v/>
      </c>
      <c r="C26" s="14" t="str">
        <f aca="false">IFERROR(INDEX(EVENTOS!D:D,MATCH(1,EVENTOS!$J:$J,0)),"")</f>
        <v/>
      </c>
      <c r="D26" s="14" t="str">
        <f aca="false">IFERROR(INDEX(EVENTOS!F:F,MATCH(1,EVENTOS!$J:$J,0)),"")</f>
        <v/>
      </c>
      <c r="E26" s="14" t="str">
        <f aca="false">IFERROR(INDEX(EVENTOS!G:G,MATCH(1,EVENTOS!$J:$J,0)),"")</f>
        <v/>
      </c>
      <c r="F26" s="14" t="str">
        <f aca="false">IFERROR(INDEX(EVENTOS!H:H,MATCH(1,EVENTOS!$J:$J,0)),"")</f>
        <v/>
      </c>
    </row>
    <row r="27" customFormat="false" ht="18" hidden="false" customHeight="true" outlineLevel="0" collapsed="false">
      <c r="A27" s="15" t="str">
        <f aca="false">IFERROR(INDEX(EVENTOS!A:A,MATCH(2,EVENTOS!$J:$J,0)),"")</f>
        <v/>
      </c>
      <c r="B27" s="15" t="str">
        <f aca="false">IFERROR(INDEX(EVENTOS!B:B,MATCH(2,EVENTOS!$J:$J,0)),"")</f>
        <v/>
      </c>
      <c r="C27" s="15" t="str">
        <f aca="false">IFERROR(INDEX(EVENTOS!D:D,MATCH(2,EVENTOS!$J:$J,0)),"")</f>
        <v/>
      </c>
      <c r="D27" s="15" t="str">
        <f aca="false">IFERROR(INDEX(EVENTOS!F:F,MATCH(2,EVENTOS!$J:$J,0)),"")</f>
        <v/>
      </c>
      <c r="E27" s="15" t="str">
        <f aca="false">IFERROR(INDEX(EVENTOS!G:G,MATCH(2,EVENTOS!$J:$J,0)),"")</f>
        <v/>
      </c>
      <c r="F27" s="15" t="str">
        <f aca="false">IFERROR(INDEX(EVENTOS!H:H,MATCH(2,EVENTOS!$J:$J,0)),"")</f>
        <v/>
      </c>
    </row>
    <row r="28" customFormat="false" ht="18" hidden="false" customHeight="true" outlineLevel="0" collapsed="false">
      <c r="A28" s="14" t="str">
        <f aca="false">IFERROR(INDEX(EVENTOS!A:A,MATCH(3,EVENTOS!$J:$J,0)),"")</f>
        <v/>
      </c>
      <c r="B28" s="14" t="str">
        <f aca="false">IFERROR(INDEX(EVENTOS!B:B,MATCH(3,EVENTOS!$J:$J,0)),"")</f>
        <v/>
      </c>
      <c r="C28" s="14" t="str">
        <f aca="false">IFERROR(INDEX(EVENTOS!D:D,MATCH(3,EVENTOS!$J:$J,0)),"")</f>
        <v/>
      </c>
      <c r="D28" s="14" t="str">
        <f aca="false">IFERROR(INDEX(EVENTOS!F:F,MATCH(3,EVENTOS!$J:$J,0)),"")</f>
        <v/>
      </c>
      <c r="E28" s="14" t="str">
        <f aca="false">IFERROR(INDEX(EVENTOS!G:G,MATCH(3,EVENTOS!$J:$J,0)),"")</f>
        <v/>
      </c>
      <c r="F28" s="14" t="str">
        <f aca="false">IFERROR(INDEX(EVENTOS!H:H,MATCH(3,EVENTOS!$J:$J,0)),"")</f>
        <v/>
      </c>
    </row>
    <row r="29" customFormat="false" ht="18" hidden="false" customHeight="true" outlineLevel="0" collapsed="false">
      <c r="A29" s="15" t="str">
        <f aca="false">IFERROR(INDEX(EVENTOS!A:A,MATCH(4,EVENTOS!$J:$J,0)),"")</f>
        <v/>
      </c>
      <c r="B29" s="15" t="str">
        <f aca="false">IFERROR(INDEX(EVENTOS!B:B,MATCH(4,EVENTOS!$J:$J,0)),"")</f>
        <v/>
      </c>
      <c r="C29" s="15" t="str">
        <f aca="false">IFERROR(INDEX(EVENTOS!D:D,MATCH(4,EVENTOS!$J:$J,0)),"")</f>
        <v/>
      </c>
      <c r="D29" s="15" t="str">
        <f aca="false">IFERROR(INDEX(EVENTOS!F:F,MATCH(4,EVENTOS!$J:$J,0)),"")</f>
        <v/>
      </c>
      <c r="E29" s="15" t="str">
        <f aca="false">IFERROR(INDEX(EVENTOS!G:G,MATCH(4,EVENTOS!$J:$J,0)),"")</f>
        <v/>
      </c>
      <c r="F29" s="15" t="str">
        <f aca="false">IFERROR(INDEX(EVENTOS!H:H,MATCH(4,EVENTOS!$J:$J,0)),"")</f>
        <v/>
      </c>
    </row>
    <row r="30" customFormat="false" ht="18" hidden="false" customHeight="true" outlineLevel="0" collapsed="false">
      <c r="A30" s="14" t="str">
        <f aca="false">IFERROR(INDEX(EVENTOS!A:A,MATCH(5,EVENTOS!$J:$J,0)),"")</f>
        <v/>
      </c>
      <c r="B30" s="14" t="str">
        <f aca="false">IFERROR(INDEX(EVENTOS!B:B,MATCH(5,EVENTOS!$J:$J,0)),"")</f>
        <v/>
      </c>
      <c r="C30" s="14" t="str">
        <f aca="false">IFERROR(INDEX(EVENTOS!D:D,MATCH(5,EVENTOS!$J:$J,0)),"")</f>
        <v/>
      </c>
      <c r="D30" s="14" t="str">
        <f aca="false">IFERROR(INDEX(EVENTOS!F:F,MATCH(5,EVENTOS!$J:$J,0)),"")</f>
        <v/>
      </c>
      <c r="E30" s="14" t="str">
        <f aca="false">IFERROR(INDEX(EVENTOS!G:G,MATCH(5,EVENTOS!$J:$J,0)),"")</f>
        <v/>
      </c>
      <c r="F30" s="14" t="str">
        <f aca="false">IFERROR(INDEX(EVENTOS!H:H,MATCH(5,EVENTOS!$J:$J,0)),"")</f>
        <v/>
      </c>
    </row>
    <row r="31" customFormat="false" ht="7.5" hidden="false" customHeight="true" outlineLevel="0" collapsed="false"/>
    <row r="32" customFormat="false" ht="25.5" hidden="false" customHeight="true" outlineLevel="0" collapsed="false">
      <c r="A32" s="22" t="s">
        <v>47</v>
      </c>
      <c r="B32" s="22"/>
      <c r="C32" s="22"/>
      <c r="D32" s="22"/>
      <c r="E32" s="22"/>
      <c r="F32" s="22"/>
    </row>
    <row r="33" customFormat="false" ht="21.75" hidden="false" customHeight="true" outlineLevel="0" collapsed="false">
      <c r="A33" s="28" t="s">
        <v>48</v>
      </c>
      <c r="B33" s="28" t="s">
        <v>49</v>
      </c>
      <c r="C33" s="28" t="s">
        <v>50</v>
      </c>
      <c r="D33" s="28" t="s">
        <v>39</v>
      </c>
      <c r="E33" s="28" t="s">
        <v>51</v>
      </c>
      <c r="F33" s="28" t="s">
        <v>52</v>
      </c>
    </row>
    <row r="34" customFormat="false" ht="18" hidden="false" customHeight="true" outlineLevel="0" collapsed="false">
      <c r="A34" s="14" t="str">
        <f aca="false">IFERROR(INDEX(SUBATIVOS!A:A,MATCH(1,SUBATIVOS!$H:$H,0)),"")</f>
        <v>SUB-007</v>
      </c>
      <c r="B34" s="14" t="str">
        <f aca="false">IFERROR(INDEX(SUBATIVOS!C:C,MATCH(1,SUBATIVOS!$H:$H,0)),"")</f>
        <v>Motor</v>
      </c>
      <c r="C34" s="14" t="str">
        <f aca="false">IFERROR(INDEX(SUBATIVOS!D:D,MATCH(1,SUBATIVOS!$H:$H,0)),"")</f>
        <v>Degradado</v>
      </c>
      <c r="D34" s="14" t="str">
        <f aca="false">IFERROR(INDEX(SUBATIVOS!E:E,MATCH(1,SUBATIVOS!$H:$H,0)),"")</f>
        <v>B</v>
      </c>
      <c r="E34" s="14" t="str">
        <f aca="false">IFERROR(INDEX(SUBATIVOS!F:F,MATCH(1,SUBATIVOS!$H:$H,0)),"")</f>
        <v>Revisar injeção</v>
      </c>
      <c r="F34" s="14" t="str">
        <f aca="false">IFERROR(INDEX(SUBATIVOS!G:G,MATCH(1,SUBATIVOS!$H:$H,0)),"")</f>
        <v>Média</v>
      </c>
    </row>
    <row r="35" customFormat="false" ht="18" hidden="false" customHeight="true" outlineLevel="0" collapsed="false">
      <c r="A35" s="29" t="str">
        <f aca="false">IFERROR(INDEX(SUBATIVOS!A:A,MATCH(2,SUBATIVOS!$H:$H,0)),"")</f>
        <v>SUB-008</v>
      </c>
      <c r="B35" s="29" t="str">
        <f aca="false">IFERROR(INDEX(SUBATIVOS!C:C,MATCH(2,SUBATIVOS!$H:$H,0)),"")</f>
        <v>Freios</v>
      </c>
      <c r="C35" s="29" t="str">
        <f aca="false">IFERROR(INDEX(SUBATIVOS!D:D,MATCH(2,SUBATIVOS!$H:$H,0)),"")</f>
        <v>Degradado</v>
      </c>
      <c r="D35" s="29" t="str">
        <f aca="false">IFERROR(INDEX(SUBATIVOS!E:E,MATCH(2,SUBATIVOS!$H:$H,0)),"")</f>
        <v>C</v>
      </c>
      <c r="E35" s="29" t="str">
        <f aca="false">IFERROR(INDEX(SUBATIVOS!F:F,MATCH(2,SUBATIVOS!$H:$H,0)),"")</f>
        <v>Trocar discos</v>
      </c>
      <c r="F35" s="29" t="str">
        <f aca="false">IFERROR(INDEX(SUBATIVOS!G:G,MATCH(2,SUBATIVOS!$H:$H,0)),"")</f>
        <v>Alta</v>
      </c>
    </row>
    <row r="36" customFormat="false" ht="18" hidden="false" customHeight="true" outlineLevel="0" collapsed="false">
      <c r="A36" s="14" t="str">
        <f aca="false">IFERROR(INDEX(SUBATIVOS!A:A,MATCH(3,SUBATIVOS!$H:$H,0)),"")</f>
        <v>SUB-009</v>
      </c>
      <c r="B36" s="14" t="str">
        <f aca="false">IFERROR(INDEX(SUBATIVOS!C:C,MATCH(3,SUBATIVOS!$H:$H,0)),"")</f>
        <v>Elétrica</v>
      </c>
      <c r="C36" s="14" t="str">
        <f aca="false">IFERROR(INDEX(SUBATIVOS!D:D,MATCH(3,SUBATIVOS!$H:$H,0)),"")</f>
        <v>Funcional</v>
      </c>
      <c r="D36" s="14" t="str">
        <f aca="false">IFERROR(INDEX(SUBATIVOS!E:E,MATCH(3,SUBATIVOS!$H:$H,0)),"")</f>
        <v>A</v>
      </c>
      <c r="E36" s="14" t="str">
        <f aca="false">IFERROR(INDEX(SUBATIVOS!F:F,MATCH(3,SUBATIVOS!$H:$H,0)),"")</f>
        <v>Nenhuma</v>
      </c>
      <c r="F36" s="14" t="str">
        <f aca="false">IFERROR(INDEX(SUBATIVOS!G:G,MATCH(3,SUBATIVOS!$H:$H,0)),"")</f>
        <v>Baixa</v>
      </c>
    </row>
    <row r="37" customFormat="false" ht="18" hidden="false" customHeight="true" outlineLevel="0" collapsed="false">
      <c r="A37" s="29" t="str">
        <f aca="false">IFERROR(INDEX(SUBATIVOS!A:A,MATCH(4,SUBATIVOS!$H:$H,0)),"")</f>
        <v/>
      </c>
      <c r="B37" s="29" t="str">
        <f aca="false">IFERROR(INDEX(SUBATIVOS!C:C,MATCH(4,SUBATIVOS!$H:$H,0)),"")</f>
        <v/>
      </c>
      <c r="C37" s="29" t="str">
        <f aca="false">IFERROR(INDEX(SUBATIVOS!D:D,MATCH(4,SUBATIVOS!$H:$H,0)),"")</f>
        <v/>
      </c>
      <c r="D37" s="29" t="str">
        <f aca="false">IFERROR(INDEX(SUBATIVOS!E:E,MATCH(4,SUBATIVOS!$H:$H,0)),"")</f>
        <v/>
      </c>
      <c r="E37" s="29" t="str">
        <f aca="false">IFERROR(INDEX(SUBATIVOS!F:F,MATCH(4,SUBATIVOS!$H:$H,0)),"")</f>
        <v/>
      </c>
      <c r="F37" s="29" t="str">
        <f aca="false">IFERROR(INDEX(SUBATIVOS!G:G,MATCH(4,SUBATIVOS!$H:$H,0)),"")</f>
        <v/>
      </c>
    </row>
    <row r="38" customFormat="false" ht="18" hidden="false" customHeight="true" outlineLevel="0" collapsed="false">
      <c r="A38" s="14" t="str">
        <f aca="false">IFERROR(INDEX(SUBATIVOS!A:A,MATCH(5,SUBATIVOS!$H:$H,0)),"")</f>
        <v/>
      </c>
      <c r="B38" s="14" t="str">
        <f aca="false">IFERROR(INDEX(SUBATIVOS!C:C,MATCH(5,SUBATIVOS!$H:$H,0)),"")</f>
        <v/>
      </c>
      <c r="C38" s="14" t="str">
        <f aca="false">IFERROR(INDEX(SUBATIVOS!D:D,MATCH(5,SUBATIVOS!$H:$H,0)),"")</f>
        <v/>
      </c>
      <c r="D38" s="14" t="str">
        <f aca="false">IFERROR(INDEX(SUBATIVOS!E:E,MATCH(5,SUBATIVOS!$H:$H,0)),"")</f>
        <v/>
      </c>
      <c r="E38" s="14" t="str">
        <f aca="false">IFERROR(INDEX(SUBATIVOS!F:F,MATCH(5,SUBATIVOS!$H:$H,0)),"")</f>
        <v/>
      </c>
      <c r="F38" s="14" t="str">
        <f aca="false">IFERROR(INDEX(SUBATIVOS!G:G,MATCH(5,SUBATIVOS!$H:$H,0)),"")</f>
        <v/>
      </c>
    </row>
    <row r="39" customFormat="false" ht="18" hidden="false" customHeight="true" outlineLevel="0" collapsed="false">
      <c r="A39" s="29" t="str">
        <f aca="false">IFERROR(INDEX(SUBATIVOS!A:A,MATCH(6,SUBATIVOS!$H:$H,0)),"")</f>
        <v/>
      </c>
      <c r="B39" s="29" t="str">
        <f aca="false">IFERROR(INDEX(SUBATIVOS!C:C,MATCH(6,SUBATIVOS!$H:$H,0)),"")</f>
        <v/>
      </c>
      <c r="C39" s="29" t="str">
        <f aca="false">IFERROR(INDEX(SUBATIVOS!D:D,MATCH(6,SUBATIVOS!$H:$H,0)),"")</f>
        <v/>
      </c>
      <c r="D39" s="29" t="str">
        <f aca="false">IFERROR(INDEX(SUBATIVOS!E:E,MATCH(6,SUBATIVOS!$H:$H,0)),"")</f>
        <v/>
      </c>
      <c r="E39" s="29" t="str">
        <f aca="false">IFERROR(INDEX(SUBATIVOS!F:F,MATCH(6,SUBATIVOS!$H:$H,0)),"")</f>
        <v/>
      </c>
      <c r="F39" s="29" t="str">
        <f aca="false">IFERROR(INDEX(SUBATIVOS!G:G,MATCH(6,SUBATIVOS!$H:$H,0)),"")</f>
        <v/>
      </c>
    </row>
    <row r="40" customFormat="false" ht="18" hidden="false" customHeight="true" outlineLevel="0" collapsed="false">
      <c r="A40" s="14" t="str">
        <f aca="false">IFERROR(INDEX(SUBATIVOS!A:A,MATCH(7,SUBATIVOS!$H:$H,0)),"")</f>
        <v/>
      </c>
      <c r="B40" s="14" t="str">
        <f aca="false">IFERROR(INDEX(SUBATIVOS!C:C,MATCH(7,SUBATIVOS!$H:$H,0)),"")</f>
        <v/>
      </c>
      <c r="C40" s="14" t="str">
        <f aca="false">IFERROR(INDEX(SUBATIVOS!D:D,MATCH(7,SUBATIVOS!$H:$H,0)),"")</f>
        <v/>
      </c>
      <c r="D40" s="14" t="str">
        <f aca="false">IFERROR(INDEX(SUBATIVOS!E:E,MATCH(7,SUBATIVOS!$H:$H,0)),"")</f>
        <v/>
      </c>
      <c r="E40" s="14" t="str">
        <f aca="false">IFERROR(INDEX(SUBATIVOS!F:F,MATCH(7,SUBATIVOS!$H:$H,0)),"")</f>
        <v/>
      </c>
      <c r="F40" s="14" t="str">
        <f aca="false">IFERROR(INDEX(SUBATIVOS!G:G,MATCH(7,SUBATIVOS!$H:$H,0)),"")</f>
        <v/>
      </c>
    </row>
    <row r="41" customFormat="false" ht="18" hidden="false" customHeight="true" outlineLevel="0" collapsed="false">
      <c r="A41" s="29" t="str">
        <f aca="false">IFERROR(INDEX(SUBATIVOS!A:A,MATCH(8,SUBATIVOS!$H:$H,0)),"")</f>
        <v/>
      </c>
      <c r="B41" s="29" t="str">
        <f aca="false">IFERROR(INDEX(SUBATIVOS!C:C,MATCH(8,SUBATIVOS!$H:$H,0)),"")</f>
        <v/>
      </c>
      <c r="C41" s="29" t="str">
        <f aca="false">IFERROR(INDEX(SUBATIVOS!D:D,MATCH(8,SUBATIVOS!$H:$H,0)),"")</f>
        <v/>
      </c>
      <c r="D41" s="29" t="str">
        <f aca="false">IFERROR(INDEX(SUBATIVOS!E:E,MATCH(8,SUBATIVOS!$H:$H,0)),"")</f>
        <v/>
      </c>
      <c r="E41" s="29" t="str">
        <f aca="false">IFERROR(INDEX(SUBATIVOS!F:F,MATCH(8,SUBATIVOS!$H:$H,0)),"")</f>
        <v/>
      </c>
      <c r="F41" s="29" t="str">
        <f aca="false">IFERROR(INDEX(SUBATIVOS!G:G,MATCH(8,SUBATIVOS!$H:$H,0)),"")</f>
        <v/>
      </c>
    </row>
    <row r="42" customFormat="false" ht="18" hidden="false" customHeight="true" outlineLevel="0" collapsed="false">
      <c r="A42" s="14" t="str">
        <f aca="false">IFERROR(INDEX(SUBATIVOS!A:A,MATCH(9,SUBATIVOS!$H:$H,0)),"")</f>
        <v/>
      </c>
      <c r="B42" s="14" t="str">
        <f aca="false">IFERROR(INDEX(SUBATIVOS!C:C,MATCH(9,SUBATIVOS!$H:$H,0)),"")</f>
        <v/>
      </c>
      <c r="C42" s="14" t="str">
        <f aca="false">IFERROR(INDEX(SUBATIVOS!D:D,MATCH(9,SUBATIVOS!$H:$H,0)),"")</f>
        <v/>
      </c>
      <c r="D42" s="14" t="str">
        <f aca="false">IFERROR(INDEX(SUBATIVOS!E:E,MATCH(9,SUBATIVOS!$H:$H,0)),"")</f>
        <v/>
      </c>
      <c r="E42" s="14" t="str">
        <f aca="false">IFERROR(INDEX(SUBATIVOS!F:F,MATCH(9,SUBATIVOS!$H:$H,0)),"")</f>
        <v/>
      </c>
      <c r="F42" s="14" t="str">
        <f aca="false">IFERROR(INDEX(SUBATIVOS!G:G,MATCH(9,SUBATIVOS!$H:$H,0)),"")</f>
        <v/>
      </c>
    </row>
    <row r="43" customFormat="false" ht="18" hidden="false" customHeight="true" outlineLevel="0" collapsed="false">
      <c r="A43" s="29" t="str">
        <f aca="false">IFERROR(INDEX(SUBATIVOS!A:A,MATCH(10,SUBATIVOS!$H:$H,0)),"")</f>
        <v/>
      </c>
      <c r="B43" s="29" t="str">
        <f aca="false">IFERROR(INDEX(SUBATIVOS!C:C,MATCH(10,SUBATIVOS!$H:$H,0)),"")</f>
        <v/>
      </c>
      <c r="C43" s="29" t="str">
        <f aca="false">IFERROR(INDEX(SUBATIVOS!D:D,MATCH(10,SUBATIVOS!$H:$H,0)),"")</f>
        <v/>
      </c>
      <c r="D43" s="29" t="str">
        <f aca="false">IFERROR(INDEX(SUBATIVOS!E:E,MATCH(10,SUBATIVOS!$H:$H,0)),"")</f>
        <v/>
      </c>
      <c r="E43" s="29" t="str">
        <f aca="false">IFERROR(INDEX(SUBATIVOS!F:F,MATCH(10,SUBATIVOS!$H:$H,0)),"")</f>
        <v/>
      </c>
      <c r="F43" s="29" t="str">
        <f aca="false">IFERROR(INDEX(SUBATIVOS!G:G,MATCH(10,SUBATIVOS!$H:$H,0)),"")</f>
        <v/>
      </c>
    </row>
    <row r="44" customFormat="false" ht="7.5" hidden="false" customHeight="true" outlineLevel="0" collapsed="false"/>
    <row r="45" customFormat="false" ht="25.5" hidden="false" customHeight="true" outlineLevel="0" collapsed="false">
      <c r="A45" s="22" t="s">
        <v>53</v>
      </c>
      <c r="B45" s="22"/>
      <c r="C45" s="22"/>
      <c r="D45" s="22"/>
      <c r="E45" s="22"/>
      <c r="F45" s="22"/>
    </row>
    <row r="46" customFormat="false" ht="21.75" hidden="false" customHeight="true" outlineLevel="0" collapsed="false">
      <c r="A46" s="28" t="s">
        <v>54</v>
      </c>
      <c r="B46" s="28" t="s">
        <v>55</v>
      </c>
      <c r="C46" s="28" t="s">
        <v>56</v>
      </c>
      <c r="D46" s="28" t="s">
        <v>57</v>
      </c>
      <c r="E46" s="28" t="s">
        <v>58</v>
      </c>
      <c r="F46" s="28" t="s">
        <v>59</v>
      </c>
    </row>
    <row r="47" customFormat="false" ht="18" hidden="false" customHeight="true" outlineLevel="0" collapsed="false">
      <c r="A47" s="14" t="str">
        <f aca="false">IFERROR(INDEX(PNEUS!A:A,MATCH(1,PNEUS!$H:$H,0)),"")</f>
        <v>PNE-011</v>
      </c>
      <c r="B47" s="14" t="str">
        <f aca="false">IFERROR(INDEX(PNEUS!C:C,MATCH(1,PNEUS!$H:$H,0)),"")</f>
        <v>1E</v>
      </c>
      <c r="C47" s="14" t="str">
        <f aca="false">IFERROR(INDEX(PNEUS!D:D,MATCH(1,PNEUS!$H:$H,0)),"")</f>
        <v>Goodyear</v>
      </c>
      <c r="D47" s="14" t="str">
        <f aca="false">IFERROR(INDEX(PNEUS!E:E,MATCH(1,PNEUS!$H:$H,0)),"")</f>
        <v>225/75</v>
      </c>
      <c r="E47" s="14" t="n">
        <f aca="false">IFERROR(INDEX(PNEUS!F:F,MATCH(1,PNEUS!$H:$H,0)),"")</f>
        <v>6</v>
      </c>
      <c r="F47" s="14" t="str">
        <f aca="false">IFERROR(INDEX(PNEUS!G:G,MATCH(1,PNEUS!$H:$H,0)),"")</f>
        <v>Instalado</v>
      </c>
    </row>
    <row r="48" customFormat="false" ht="18" hidden="false" customHeight="true" outlineLevel="0" collapsed="false">
      <c r="A48" s="29" t="str">
        <f aca="false">IFERROR(INDEX(PNEUS!A:A,MATCH(2,PNEUS!$H:$H,0)),"")</f>
        <v>PNE-012</v>
      </c>
      <c r="B48" s="29" t="str">
        <f aca="false">IFERROR(INDEX(PNEUS!C:C,MATCH(2,PNEUS!$H:$H,0)),"")</f>
        <v>1D</v>
      </c>
      <c r="C48" s="29" t="str">
        <f aca="false">IFERROR(INDEX(PNEUS!D:D,MATCH(2,PNEUS!$H:$H,0)),"")</f>
        <v>Goodyear</v>
      </c>
      <c r="D48" s="29" t="str">
        <f aca="false">IFERROR(INDEX(PNEUS!E:E,MATCH(2,PNEUS!$H:$H,0)),"")</f>
        <v>225/75</v>
      </c>
      <c r="E48" s="29" t="n">
        <f aca="false">IFERROR(INDEX(PNEUS!F:F,MATCH(2,PNEUS!$H:$H,0)),"")</f>
        <v>5</v>
      </c>
      <c r="F48" s="29" t="str">
        <f aca="false">IFERROR(INDEX(PNEUS!G:G,MATCH(2,PNEUS!$H:$H,0)),"")</f>
        <v>Instalado</v>
      </c>
    </row>
    <row r="49" customFormat="false" ht="18" hidden="false" customHeight="true" outlineLevel="0" collapsed="false">
      <c r="A49" s="14" t="str">
        <f aca="false">IFERROR(INDEX(PNEUS!A:A,MATCH(3,PNEUS!$H:$H,0)),"")</f>
        <v>PNE-013</v>
      </c>
      <c r="B49" s="14" t="str">
        <f aca="false">IFERROR(INDEX(PNEUS!C:C,MATCH(3,PNEUS!$H:$H,0)),"")</f>
        <v>2E</v>
      </c>
      <c r="C49" s="14" t="str">
        <f aca="false">IFERROR(INDEX(PNEUS!D:D,MATCH(3,PNEUS!$H:$H,0)),"")</f>
        <v>Goodyear</v>
      </c>
      <c r="D49" s="14" t="str">
        <f aca="false">IFERROR(INDEX(PNEUS!E:E,MATCH(3,PNEUS!$H:$H,0)),"")</f>
        <v>225/75</v>
      </c>
      <c r="E49" s="14" t="n">
        <f aca="false">IFERROR(INDEX(PNEUS!F:F,MATCH(3,PNEUS!$H:$H,0)),"")</f>
        <v>2</v>
      </c>
      <c r="F49" s="14" t="str">
        <f aca="false">IFERROR(INDEX(PNEUS!G:G,MATCH(3,PNEUS!$H:$H,0)),"")</f>
        <v>Condenado</v>
      </c>
    </row>
    <row r="50" customFormat="false" ht="18" hidden="false" customHeight="true" outlineLevel="0" collapsed="false">
      <c r="A50" s="29" t="str">
        <f aca="false">IFERROR(INDEX(PNEUS!A:A,MATCH(4,PNEUS!$H:$H,0)),"")</f>
        <v>PNE-014</v>
      </c>
      <c r="B50" s="29" t="str">
        <f aca="false">IFERROR(INDEX(PNEUS!C:C,MATCH(4,PNEUS!$H:$H,0)),"")</f>
        <v>2D</v>
      </c>
      <c r="C50" s="29" t="str">
        <f aca="false">IFERROR(INDEX(PNEUS!D:D,MATCH(4,PNEUS!$H:$H,0)),"")</f>
        <v>Goodyear</v>
      </c>
      <c r="D50" s="29" t="str">
        <f aca="false">IFERROR(INDEX(PNEUS!E:E,MATCH(4,PNEUS!$H:$H,0)),"")</f>
        <v>225/75</v>
      </c>
      <c r="E50" s="29" t="n">
        <f aca="false">IFERROR(INDEX(PNEUS!F:F,MATCH(4,PNEUS!$H:$H,0)),"")</f>
        <v>6</v>
      </c>
      <c r="F50" s="29" t="str">
        <f aca="false">IFERROR(INDEX(PNEUS!G:G,MATCH(4,PNEUS!$H:$H,0)),"")</f>
        <v>Instalado</v>
      </c>
    </row>
    <row r="51" customFormat="false" ht="18" hidden="false" customHeight="true" outlineLevel="0" collapsed="false">
      <c r="A51" s="14" t="str">
        <f aca="false">IFERROR(INDEX(PNEUS!A:A,MATCH(5,PNEUS!$H:$H,0)),"")</f>
        <v/>
      </c>
      <c r="B51" s="14" t="str">
        <f aca="false">IFERROR(INDEX(PNEUS!C:C,MATCH(5,PNEUS!$H:$H,0)),"")</f>
        <v/>
      </c>
      <c r="C51" s="14" t="str">
        <f aca="false">IFERROR(INDEX(PNEUS!D:D,MATCH(5,PNEUS!$H:$H,0)),"")</f>
        <v/>
      </c>
      <c r="D51" s="14" t="str">
        <f aca="false">IFERROR(INDEX(PNEUS!E:E,MATCH(5,PNEUS!$H:$H,0)),"")</f>
        <v/>
      </c>
      <c r="E51" s="14" t="str">
        <f aca="false">IFERROR(INDEX(PNEUS!F:F,MATCH(5,PNEUS!$H:$H,0)),"")</f>
        <v/>
      </c>
      <c r="F51" s="14" t="str">
        <f aca="false">IFERROR(INDEX(PNEUS!G:G,MATCH(5,PNEUS!$H:$H,0)),"")</f>
        <v/>
      </c>
    </row>
    <row r="52" customFormat="false" ht="18" hidden="false" customHeight="true" outlineLevel="0" collapsed="false">
      <c r="A52" s="29" t="str">
        <f aca="false">IFERROR(INDEX(PNEUS!A:A,MATCH(6,PNEUS!$H:$H,0)),"")</f>
        <v/>
      </c>
      <c r="B52" s="29" t="str">
        <f aca="false">IFERROR(INDEX(PNEUS!C:C,MATCH(6,PNEUS!$H:$H,0)),"")</f>
        <v/>
      </c>
      <c r="C52" s="29" t="str">
        <f aca="false">IFERROR(INDEX(PNEUS!D:D,MATCH(6,PNEUS!$H:$H,0)),"")</f>
        <v/>
      </c>
      <c r="D52" s="29" t="str">
        <f aca="false">IFERROR(INDEX(PNEUS!E:E,MATCH(6,PNEUS!$H:$H,0)),"")</f>
        <v/>
      </c>
      <c r="E52" s="29" t="str">
        <f aca="false">IFERROR(INDEX(PNEUS!F:F,MATCH(6,PNEUS!$H:$H,0)),"")</f>
        <v/>
      </c>
      <c r="F52" s="29" t="str">
        <f aca="false">IFERROR(INDEX(PNEUS!G:G,MATCH(6,PNEUS!$H:$H,0)),"")</f>
        <v/>
      </c>
    </row>
    <row r="53" customFormat="false" ht="18" hidden="false" customHeight="true" outlineLevel="0" collapsed="false">
      <c r="A53" s="14" t="str">
        <f aca="false">IFERROR(INDEX(PNEUS!A:A,MATCH(7,PNEUS!$H:$H,0)),"")</f>
        <v/>
      </c>
      <c r="B53" s="14" t="str">
        <f aca="false">IFERROR(INDEX(PNEUS!C:C,MATCH(7,PNEUS!$H:$H,0)),"")</f>
        <v/>
      </c>
      <c r="C53" s="14" t="str">
        <f aca="false">IFERROR(INDEX(PNEUS!D:D,MATCH(7,PNEUS!$H:$H,0)),"")</f>
        <v/>
      </c>
      <c r="D53" s="14" t="str">
        <f aca="false">IFERROR(INDEX(PNEUS!E:E,MATCH(7,PNEUS!$H:$H,0)),"")</f>
        <v/>
      </c>
      <c r="E53" s="14" t="str">
        <f aca="false">IFERROR(INDEX(PNEUS!F:F,MATCH(7,PNEUS!$H:$H,0)),"")</f>
        <v/>
      </c>
      <c r="F53" s="14" t="str">
        <f aca="false">IFERROR(INDEX(PNEUS!G:G,MATCH(7,PNEUS!$H:$H,0)),"")</f>
        <v/>
      </c>
    </row>
    <row r="54" customFormat="false" ht="18" hidden="false" customHeight="true" outlineLevel="0" collapsed="false">
      <c r="A54" s="29" t="str">
        <f aca="false">IFERROR(INDEX(PNEUS!A:A,MATCH(8,PNEUS!$H:$H,0)),"")</f>
        <v/>
      </c>
      <c r="B54" s="29" t="str">
        <f aca="false">IFERROR(INDEX(PNEUS!C:C,MATCH(8,PNEUS!$H:$H,0)),"")</f>
        <v/>
      </c>
      <c r="C54" s="29" t="str">
        <f aca="false">IFERROR(INDEX(PNEUS!D:D,MATCH(8,PNEUS!$H:$H,0)),"")</f>
        <v/>
      </c>
      <c r="D54" s="29" t="str">
        <f aca="false">IFERROR(INDEX(PNEUS!E:E,MATCH(8,PNEUS!$H:$H,0)),"")</f>
        <v/>
      </c>
      <c r="E54" s="29" t="str">
        <f aca="false">IFERROR(INDEX(PNEUS!F:F,MATCH(8,PNEUS!$H:$H,0)),"")</f>
        <v/>
      </c>
      <c r="F54" s="29" t="str">
        <f aca="false">IFERROR(INDEX(PNEUS!G:G,MATCH(8,PNEUS!$H:$H,0)),"")</f>
        <v/>
      </c>
    </row>
    <row r="55" customFormat="false" ht="18" hidden="false" customHeight="true" outlineLevel="0" collapsed="false">
      <c r="A55" s="14" t="str">
        <f aca="false">IFERROR(INDEX(PNEUS!A:A,MATCH(9,PNEUS!$H:$H,0)),"")</f>
        <v/>
      </c>
      <c r="B55" s="14" t="str">
        <f aca="false">IFERROR(INDEX(PNEUS!C:C,MATCH(9,PNEUS!$H:$H,0)),"")</f>
        <v/>
      </c>
      <c r="C55" s="14" t="str">
        <f aca="false">IFERROR(INDEX(PNEUS!D:D,MATCH(9,PNEUS!$H:$H,0)),"")</f>
        <v/>
      </c>
      <c r="D55" s="14" t="str">
        <f aca="false">IFERROR(INDEX(PNEUS!E:E,MATCH(9,PNEUS!$H:$H,0)),"")</f>
        <v/>
      </c>
      <c r="E55" s="14" t="str">
        <f aca="false">IFERROR(INDEX(PNEUS!F:F,MATCH(9,PNEUS!$H:$H,0)),"")</f>
        <v/>
      </c>
      <c r="F55" s="14" t="str">
        <f aca="false">IFERROR(INDEX(PNEUS!G:G,MATCH(9,PNEUS!$H:$H,0)),"")</f>
        <v/>
      </c>
    </row>
    <row r="56" customFormat="false" ht="18" hidden="false" customHeight="true" outlineLevel="0" collapsed="false">
      <c r="A56" s="29" t="str">
        <f aca="false">IFERROR(INDEX(PNEUS!A:A,MATCH(10,PNEUS!$H:$H,0)),"")</f>
        <v/>
      </c>
      <c r="B56" s="29" t="str">
        <f aca="false">IFERROR(INDEX(PNEUS!C:C,MATCH(10,PNEUS!$H:$H,0)),"")</f>
        <v/>
      </c>
      <c r="C56" s="29" t="str">
        <f aca="false">IFERROR(INDEX(PNEUS!D:D,MATCH(10,PNEUS!$H:$H,0)),"")</f>
        <v/>
      </c>
      <c r="D56" s="29" t="str">
        <f aca="false">IFERROR(INDEX(PNEUS!E:E,MATCH(10,PNEUS!$H:$H,0)),"")</f>
        <v/>
      </c>
      <c r="E56" s="29" t="str">
        <f aca="false">IFERROR(INDEX(PNEUS!F:F,MATCH(10,PNEUS!$H:$H,0)),"")</f>
        <v/>
      </c>
      <c r="F56" s="29" t="str">
        <f aca="false">IFERROR(INDEX(PNEUS!G:G,MATCH(10,PNEUS!$H:$H,0)),"")</f>
        <v/>
      </c>
    </row>
    <row r="57" customFormat="false" ht="7.5" hidden="false" customHeight="true" outlineLevel="0" collapsed="false"/>
    <row r="58" customFormat="false" ht="25.5" hidden="false" customHeight="true" outlineLevel="0" collapsed="false">
      <c r="A58" s="22" t="s">
        <v>60</v>
      </c>
      <c r="B58" s="22"/>
      <c r="C58" s="22"/>
      <c r="D58" s="22"/>
      <c r="E58" s="22"/>
      <c r="F58" s="22"/>
    </row>
    <row r="59" customFormat="false" ht="21.75" hidden="false" customHeight="true" outlineLevel="0" collapsed="false">
      <c r="A59" s="28" t="s">
        <v>61</v>
      </c>
      <c r="B59" s="28" t="s">
        <v>35</v>
      </c>
      <c r="C59" s="28" t="s">
        <v>46</v>
      </c>
      <c r="D59" s="28"/>
      <c r="E59" s="28" t="s">
        <v>62</v>
      </c>
      <c r="F59" s="28" t="s">
        <v>59</v>
      </c>
    </row>
    <row r="60" customFormat="false" ht="18" hidden="false" customHeight="true" outlineLevel="0" collapsed="false">
      <c r="A60" s="14" t="str">
        <f aca="false">IFERROR(INDEX(OCORRENCIAS!A:A,MATCH(1,OCORRENCIAS!$H:$H,0)),"")</f>
        <v>OCO-007</v>
      </c>
      <c r="B60" s="14" t="str">
        <f aca="false">IFERROR(INDEX(OCORRENCIAS!C:C,MATCH(1,OCORRENCIAS!$H:$H,0)),"")</f>
        <v>Avaria</v>
      </c>
      <c r="C60" s="14" t="str">
        <f aca="false">IFERROR(INDEX(OCORRENCIAS!D:D,MATCH(1,OCORRENCIAS!$H:$H,0)),"")</f>
        <v>Para-brisa trincado</v>
      </c>
      <c r="D60" s="14"/>
      <c r="E60" s="14" t="str">
        <f aca="false">IFERROR(INDEX(OCORRENCIAS!E:E,MATCH(1,OCORRENCIAS!$H:$H,0)),"")</f>
        <v>Alta</v>
      </c>
      <c r="F60" s="14" t="str">
        <f aca="false">IFERROR(INDEX(OCORRENCIAS!F:F,MATCH(1,OCORRENCIAS!$H:$H,0)),"")</f>
        <v>Aberta</v>
      </c>
    </row>
    <row r="61" customFormat="false" ht="18" hidden="false" customHeight="true" outlineLevel="0" collapsed="false">
      <c r="A61" s="29" t="str">
        <f aca="false">IFERROR(INDEX(OCORRENCIAS!A:A,MATCH(2,OCORRENCIAS!$H:$H,0)),"")</f>
        <v>OCO-008</v>
      </c>
      <c r="B61" s="29" t="str">
        <f aca="false">IFERROR(INDEX(OCORRENCIAS!C:C,MATCH(2,OCORRENCIAS!$H:$H,0)),"")</f>
        <v>Falha</v>
      </c>
      <c r="C61" s="29" t="str">
        <f aca="false">IFERROR(INDEX(OCORRENCIAS!D:D,MATCH(2,OCORRENCIAS!$H:$H,0)),"")</f>
        <v>Freio traseiro fraco</v>
      </c>
      <c r="D61" s="29"/>
      <c r="E61" s="29" t="str">
        <f aca="false">IFERROR(INDEX(OCORRENCIAS!E:E,MATCH(2,OCORRENCIAS!$H:$H,0)),"")</f>
        <v>Alta</v>
      </c>
      <c r="F61" s="29" t="str">
        <f aca="false">IFERROR(INDEX(OCORRENCIAS!F:F,MATCH(2,OCORRENCIAS!$H:$H,0)),"")</f>
        <v>Aberta</v>
      </c>
    </row>
    <row r="62" customFormat="false" ht="18" hidden="false" customHeight="true" outlineLevel="0" collapsed="false">
      <c r="A62" s="14" t="str">
        <f aca="false">IFERROR(INDEX(OCORRENCIAS!A:A,MATCH(3,OCORRENCIAS!$H:$H,0)),"")</f>
        <v>OCO-009</v>
      </c>
      <c r="B62" s="14" t="str">
        <f aca="false">IFERROR(INDEX(OCORRENCIAS!C:C,MATCH(3,OCORRENCIAS!$H:$H,0)),"")</f>
        <v>Pendência</v>
      </c>
      <c r="C62" s="14" t="str">
        <f aca="false">IFERROR(INDEX(OCORRENCIAS!D:D,MATCH(3,OCORRENCIAS!$H:$H,0)),"")</f>
        <v>Seguro a vencer</v>
      </c>
      <c r="D62" s="14"/>
      <c r="E62" s="14" t="str">
        <f aca="false">IFERROR(INDEX(OCORRENCIAS!E:E,MATCH(3,OCORRENCIAS!$H:$H,0)),"")</f>
        <v>Média</v>
      </c>
      <c r="F62" s="14" t="str">
        <f aca="false">IFERROR(INDEX(OCORRENCIAS!F:F,MATCH(3,OCORRENCIAS!$H:$H,0)),"")</f>
        <v>Aberta</v>
      </c>
    </row>
    <row r="63" customFormat="false" ht="18" hidden="false" customHeight="true" outlineLevel="0" collapsed="false">
      <c r="A63" s="29" t="str">
        <f aca="false">IFERROR(INDEX(OCORRENCIAS!A:A,MATCH(4,OCORRENCIAS!$H:$H,0)),"")</f>
        <v>OCO-010</v>
      </c>
      <c r="B63" s="29" t="str">
        <f aca="false">IFERROR(INDEX(OCORRENCIAS!C:C,MATCH(4,OCORRENCIAS!$H:$H,0)),"")</f>
        <v>Avaria</v>
      </c>
      <c r="C63" s="29" t="str">
        <f aca="false">IFERROR(INDEX(OCORRENCIAS!D:D,MATCH(4,OCORRENCIAS!$H:$H,0)),"")</f>
        <v>Amassado lateral direita</v>
      </c>
      <c r="D63" s="29"/>
      <c r="E63" s="29" t="str">
        <f aca="false">IFERROR(INDEX(OCORRENCIAS!E:E,MATCH(4,OCORRENCIAS!$H:$H,0)),"")</f>
        <v>Baixa</v>
      </c>
      <c r="F63" s="29" t="str">
        <f aca="false">IFERROR(INDEX(OCORRENCIAS!F:F,MATCH(4,OCORRENCIAS!$H:$H,0)),"")</f>
        <v>Resolvida</v>
      </c>
    </row>
    <row r="64" customFormat="false" ht="18" hidden="false" customHeight="true" outlineLevel="0" collapsed="false">
      <c r="A64" s="14" t="str">
        <f aca="false">IFERROR(INDEX(OCORRENCIAS!A:A,MATCH(5,OCORRENCIAS!$H:$H,0)),"")</f>
        <v>OCO-020</v>
      </c>
      <c r="B64" s="14" t="str">
        <f aca="false">IFERROR(INDEX(OCORRENCIAS!C:C,MATCH(5,OCORRENCIAS!$H:$H,0)),"")</f>
        <v>Falha</v>
      </c>
      <c r="C64" s="14" t="str">
        <f aca="false">IFERROR(INDEX(OCORRENCIAS!D:D,MATCH(5,OCORRENCIAS!$H:$H,0)),"")</f>
        <v>Ar-condicionado sem gelar</v>
      </c>
      <c r="D64" s="14"/>
      <c r="E64" s="14" t="str">
        <f aca="false">IFERROR(INDEX(OCORRENCIAS!E:E,MATCH(5,OCORRENCIAS!$H:$H,0)),"")</f>
        <v>Baixa</v>
      </c>
      <c r="F64" s="14" t="str">
        <f aca="false">IFERROR(INDEX(OCORRENCIAS!F:F,MATCH(5,OCORRENCIAS!$H:$H,0)),"")</f>
        <v>Aberta</v>
      </c>
    </row>
    <row r="65" customFormat="false" ht="18" hidden="false" customHeight="true" outlineLevel="0" collapsed="false">
      <c r="A65" s="29" t="str">
        <f aca="false">IFERROR(INDEX(OCORRENCIAS!A:A,MATCH(6,OCORRENCIAS!$H:$H,0)),"")</f>
        <v/>
      </c>
      <c r="B65" s="29" t="str">
        <f aca="false">IFERROR(INDEX(OCORRENCIAS!C:C,MATCH(6,OCORRENCIAS!$H:$H,0)),"")</f>
        <v/>
      </c>
      <c r="C65" s="29" t="str">
        <f aca="false">IFERROR(INDEX(OCORRENCIAS!D:D,MATCH(6,OCORRENCIAS!$H:$H,0)),"")</f>
        <v/>
      </c>
      <c r="D65" s="29"/>
      <c r="E65" s="29" t="str">
        <f aca="false">IFERROR(INDEX(OCORRENCIAS!E:E,MATCH(6,OCORRENCIAS!$H:$H,0)),"")</f>
        <v/>
      </c>
      <c r="F65" s="29" t="str">
        <f aca="false">IFERROR(INDEX(OCORRENCIAS!F:F,MATCH(6,OCORRENCIAS!$H:$H,0)),"")</f>
        <v/>
      </c>
    </row>
    <row r="66" customFormat="false" ht="18" hidden="false" customHeight="true" outlineLevel="0" collapsed="false">
      <c r="A66" s="14" t="str">
        <f aca="false">IFERROR(INDEX(OCORRENCIAS!A:A,MATCH(7,OCORRENCIAS!$H:$H,0)),"")</f>
        <v/>
      </c>
      <c r="B66" s="14" t="str">
        <f aca="false">IFERROR(INDEX(OCORRENCIAS!C:C,MATCH(7,OCORRENCIAS!$H:$H,0)),"")</f>
        <v/>
      </c>
      <c r="C66" s="14" t="str">
        <f aca="false">IFERROR(INDEX(OCORRENCIAS!D:D,MATCH(7,OCORRENCIAS!$H:$H,0)),"")</f>
        <v/>
      </c>
      <c r="D66" s="14"/>
      <c r="E66" s="14" t="str">
        <f aca="false">IFERROR(INDEX(OCORRENCIAS!E:E,MATCH(7,OCORRENCIAS!$H:$H,0)),"")</f>
        <v/>
      </c>
      <c r="F66" s="14" t="str">
        <f aca="false">IFERROR(INDEX(OCORRENCIAS!F:F,MATCH(7,OCORRENCIAS!$H:$H,0)),"")</f>
        <v/>
      </c>
    </row>
    <row r="67" customFormat="false" ht="18" hidden="false" customHeight="true" outlineLevel="0" collapsed="false">
      <c r="A67" s="29" t="str">
        <f aca="false">IFERROR(INDEX(OCORRENCIAS!A:A,MATCH(8,OCORRENCIAS!$H:$H,0)),"")</f>
        <v/>
      </c>
      <c r="B67" s="29" t="str">
        <f aca="false">IFERROR(INDEX(OCORRENCIAS!C:C,MATCH(8,OCORRENCIAS!$H:$H,0)),"")</f>
        <v/>
      </c>
      <c r="C67" s="29" t="str">
        <f aca="false">IFERROR(INDEX(OCORRENCIAS!D:D,MATCH(8,OCORRENCIAS!$H:$H,0)),"")</f>
        <v/>
      </c>
      <c r="D67" s="29"/>
      <c r="E67" s="29" t="str">
        <f aca="false">IFERROR(INDEX(OCORRENCIAS!E:E,MATCH(8,OCORRENCIAS!$H:$H,0)),"")</f>
        <v/>
      </c>
      <c r="F67" s="29" t="str">
        <f aca="false">IFERROR(INDEX(OCORRENCIAS!F:F,MATCH(8,OCORRENCIAS!$H:$H,0)),"")</f>
        <v/>
      </c>
    </row>
    <row r="68" customFormat="false" ht="18" hidden="false" customHeight="true" outlineLevel="0" collapsed="false">
      <c r="A68" s="14" t="str">
        <f aca="false">IFERROR(INDEX(OCORRENCIAS!A:A,MATCH(9,OCORRENCIAS!$H:$H,0)),"")</f>
        <v/>
      </c>
      <c r="B68" s="14" t="str">
        <f aca="false">IFERROR(INDEX(OCORRENCIAS!C:C,MATCH(9,OCORRENCIAS!$H:$H,0)),"")</f>
        <v/>
      </c>
      <c r="C68" s="14" t="str">
        <f aca="false">IFERROR(INDEX(OCORRENCIAS!D:D,MATCH(9,OCORRENCIAS!$H:$H,0)),"")</f>
        <v/>
      </c>
      <c r="D68" s="14"/>
      <c r="E68" s="14" t="str">
        <f aca="false">IFERROR(INDEX(OCORRENCIAS!E:E,MATCH(9,OCORRENCIAS!$H:$H,0)),"")</f>
        <v/>
      </c>
      <c r="F68" s="14" t="str">
        <f aca="false">IFERROR(INDEX(OCORRENCIAS!F:F,MATCH(9,OCORRENCIAS!$H:$H,0)),"")</f>
        <v/>
      </c>
    </row>
    <row r="69" customFormat="false" ht="18" hidden="false" customHeight="true" outlineLevel="0" collapsed="false">
      <c r="A69" s="29" t="str">
        <f aca="false">IFERROR(INDEX(OCORRENCIAS!A:A,MATCH(10,OCORRENCIAS!$H:$H,0)),"")</f>
        <v/>
      </c>
      <c r="B69" s="29" t="str">
        <f aca="false">IFERROR(INDEX(OCORRENCIAS!C:C,MATCH(10,OCORRENCIAS!$H:$H,0)),"")</f>
        <v/>
      </c>
      <c r="C69" s="29" t="str">
        <f aca="false">IFERROR(INDEX(OCORRENCIAS!D:D,MATCH(10,OCORRENCIAS!$H:$H,0)),"")</f>
        <v/>
      </c>
      <c r="D69" s="29"/>
      <c r="E69" s="29" t="str">
        <f aca="false">IFERROR(INDEX(OCORRENCIAS!E:E,MATCH(10,OCORRENCIAS!$H:$H,0)),"")</f>
        <v/>
      </c>
      <c r="F69" s="29" t="str">
        <f aca="false">IFERROR(INDEX(OCORRENCIAS!F:F,MATCH(10,OCORRENCIAS!$H:$H,0)),"")</f>
        <v/>
      </c>
    </row>
    <row r="70" customFormat="false" ht="7.5" hidden="false" customHeight="true" outlineLevel="0" collapsed="false"/>
    <row r="71" customFormat="false" ht="25.5" hidden="false" customHeight="true" outlineLevel="0" collapsed="false">
      <c r="A71" s="22" t="s">
        <v>63</v>
      </c>
      <c r="B71" s="22"/>
      <c r="C71" s="22"/>
      <c r="D71" s="22"/>
      <c r="E71" s="22"/>
      <c r="F71" s="22"/>
    </row>
    <row r="72" customFormat="false" ht="21.75" hidden="false" customHeight="true" outlineLevel="0" collapsed="false">
      <c r="A72" s="30" t="s">
        <v>64</v>
      </c>
      <c r="B72" s="30"/>
      <c r="C72" s="30"/>
      <c r="D72" s="30"/>
      <c r="E72" s="30"/>
      <c r="F72" s="30"/>
    </row>
    <row r="73" customFormat="false" ht="21.75" hidden="false" customHeight="true" outlineLevel="0" collapsed="false">
      <c r="A73" s="30"/>
      <c r="B73" s="30"/>
      <c r="C73" s="30"/>
      <c r="D73" s="30"/>
      <c r="E73" s="30"/>
      <c r="F73" s="30"/>
    </row>
    <row r="74" customFormat="false" ht="21.75" hidden="false" customHeight="true" outlineLevel="0" collapsed="false">
      <c r="A74" s="30"/>
      <c r="B74" s="30"/>
      <c r="C74" s="30"/>
      <c r="D74" s="30"/>
      <c r="E74" s="30"/>
      <c r="F74" s="30"/>
    </row>
    <row r="75" customFormat="false" ht="12" hidden="false" customHeight="true" outlineLevel="0" collapsed="false"/>
    <row r="76" customFormat="false" ht="21.75" hidden="false" customHeight="true" outlineLevel="0" collapsed="false">
      <c r="A76" s="31" t="s">
        <v>65</v>
      </c>
      <c r="B76" s="31"/>
      <c r="C76" s="31"/>
      <c r="D76" s="31" t="s">
        <v>65</v>
      </c>
      <c r="E76" s="31"/>
      <c r="F76" s="31"/>
    </row>
    <row r="77" customFormat="false" ht="18" hidden="false" customHeight="true" outlineLevel="0" collapsed="false">
      <c r="A77" s="32" t="s">
        <v>66</v>
      </c>
      <c r="B77" s="32"/>
      <c r="C77" s="32"/>
      <c r="D77" s="32" t="s">
        <v>67</v>
      </c>
      <c r="E77" s="32"/>
      <c r="F77" s="32"/>
    </row>
  </sheetData>
  <mergeCells count="35">
    <mergeCell ref="A1:F1"/>
    <mergeCell ref="A2:F2"/>
    <mergeCell ref="B4:C4"/>
    <mergeCell ref="E4:F4"/>
    <mergeCell ref="A6:F6"/>
    <mergeCell ref="B7:E7"/>
    <mergeCell ref="B8:E8"/>
    <mergeCell ref="B9:E9"/>
    <mergeCell ref="B10:E10"/>
    <mergeCell ref="B11:E11"/>
    <mergeCell ref="B12:E12"/>
    <mergeCell ref="B13:E13"/>
    <mergeCell ref="B14:E14"/>
    <mergeCell ref="A16:F16"/>
    <mergeCell ref="A24:F24"/>
    <mergeCell ref="A32:F32"/>
    <mergeCell ref="A45:F45"/>
    <mergeCell ref="A58:F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A71:F71"/>
    <mergeCell ref="A72:F74"/>
    <mergeCell ref="A76:C76"/>
    <mergeCell ref="D76:F76"/>
    <mergeCell ref="A77:C77"/>
    <mergeCell ref="D77:F77"/>
  </mergeCells>
  <conditionalFormatting sqref="E4">
    <cfRule type="cellIs" priority="2" operator="equal" aboveAverage="0" equalAverage="0" bottom="0" percent="0" rank="0" text="" dxfId="0">
      <formula>"Crítico"</formula>
    </cfRule>
    <cfRule type="cellIs" priority="3" operator="equal" aboveAverage="0" equalAverage="0" bottom="0" percent="0" rank="0" text="" dxfId="1">
      <formula>"Atenção"</formula>
    </cfRule>
    <cfRule type="cellIs" priority="4" operator="equal" aboveAverage="0" equalAverage="0" bottom="0" percent="0" rank="0" text="" dxfId="2">
      <formula>"OK"</formula>
    </cfRule>
  </conditionalFormatting>
  <conditionalFormatting sqref="B13">
    <cfRule type="cellIs" priority="5" operator="equal" aboveAverage="0" equalAverage="0" bottom="0" percent="0" rank="0" text="" dxfId="3">
      <formula>"A"</formula>
    </cfRule>
    <cfRule type="cellIs" priority="6" operator="equal" aboveAverage="0" equalAverage="0" bottom="0" percent="0" rank="0" text="" dxfId="4">
      <formula>"B"</formula>
    </cfRule>
    <cfRule type="cellIs" priority="7" operator="equal" aboveAverage="0" equalAverage="0" bottom="0" percent="0" rank="0" text="" dxfId="5">
      <formula>"C"</formula>
    </cfRule>
    <cfRule type="cellIs" priority="8" operator="equal" aboveAverage="0" equalAverage="0" bottom="0" percent="0" rank="0" text="" dxfId="6">
      <formula>"D"</formula>
    </cfRule>
  </conditionalFormatting>
  <dataValidations count="1">
    <dataValidation allowBlank="true" errorStyle="stop" operator="equal" showDropDown="false" showErrorMessage="false" showInputMessage="false" sqref="B4" type="list">
      <formula1>ATIVO_PAI!$A$2:$A$1000</formula1>
      <formula2>0</formula2>
    </dataValidation>
  </dataValidation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25" activeCellId="0" sqref="B25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20"/>
  </cols>
  <sheetData>
    <row r="1" customFormat="false" ht="31.5" hidden="false" customHeight="true" outlineLevel="0" collapsed="false">
      <c r="A1" s="33" t="s">
        <v>68</v>
      </c>
      <c r="B1" s="33"/>
      <c r="C1" s="33"/>
      <c r="D1" s="33"/>
      <c r="E1" s="33"/>
      <c r="F1" s="33"/>
      <c r="G1" s="33"/>
    </row>
    <row r="2" customFormat="false" ht="13.8" hidden="false" customHeight="false" outlineLevel="0" collapsed="false">
      <c r="A2" s="34" t="s">
        <v>69</v>
      </c>
      <c r="B2" s="28" t="s">
        <v>70</v>
      </c>
    </row>
    <row r="3" customFormat="false" ht="13.8" hidden="false" customHeight="false" outlineLevel="0" collapsed="false">
      <c r="A3" s="24" t="s">
        <v>71</v>
      </c>
      <c r="B3" s="35" t="n">
        <f aca="false">COUNTA(ATIVO_PAI!A2:A1000)</f>
        <v>5</v>
      </c>
    </row>
    <row r="4" customFormat="false" ht="13.8" hidden="false" customHeight="false" outlineLevel="0" collapsed="false">
      <c r="A4" s="36" t="s">
        <v>72</v>
      </c>
      <c r="B4" s="37" t="n">
        <f aca="false">COUNTIF(ATIVO_PAI!G2:G1000,"A")</f>
        <v>2</v>
      </c>
    </row>
    <row r="5" customFormat="false" ht="13.8" hidden="false" customHeight="false" outlineLevel="0" collapsed="false">
      <c r="A5" s="24" t="s">
        <v>73</v>
      </c>
      <c r="B5" s="35" t="n">
        <f aca="false">COUNTIF(ATIVO_PAI!G2:G1000,"B")</f>
        <v>1</v>
      </c>
    </row>
    <row r="6" customFormat="false" ht="13.8" hidden="false" customHeight="false" outlineLevel="0" collapsed="false">
      <c r="A6" s="36" t="s">
        <v>74</v>
      </c>
      <c r="B6" s="37" t="n">
        <f aca="false">COUNTIF(ATIVO_PAI!G2:G1000,"C")</f>
        <v>1</v>
      </c>
    </row>
    <row r="7" customFormat="false" ht="13.8" hidden="false" customHeight="false" outlineLevel="0" collapsed="false">
      <c r="A7" s="24" t="s">
        <v>75</v>
      </c>
      <c r="B7" s="35" t="n">
        <f aca="false">COUNTIF(ATIVO_PAI!G2:G1000,"D")</f>
        <v>1</v>
      </c>
    </row>
    <row r="8" customFormat="false" ht="13.8" hidden="false" customHeight="false" outlineLevel="0" collapsed="false">
      <c r="A8" s="36" t="s">
        <v>76</v>
      </c>
      <c r="B8" s="37" t="n">
        <f aca="false">COUNTIF(OCORRENCIAS!F2:F1000,"Aberta")</f>
        <v>11</v>
      </c>
    </row>
    <row r="9" customFormat="false" ht="13.8" hidden="false" customHeight="false" outlineLevel="0" collapsed="false">
      <c r="A9" s="24" t="s">
        <v>77</v>
      </c>
      <c r="B9" s="35" t="n">
        <f aca="false">COUNTIF(SUBATIVOS!D2:D1000,"Degradado")</f>
        <v>4</v>
      </c>
    </row>
    <row r="10" customFormat="false" ht="13.8" hidden="false" customHeight="false" outlineLevel="0" collapsed="false">
      <c r="A10" s="36" t="s">
        <v>78</v>
      </c>
      <c r="B10" s="37" t="n">
        <f aca="false">COUNTIF(SUBATIVOS!D2:D1000,"Inoperante")</f>
        <v>2</v>
      </c>
    </row>
    <row r="11" customFormat="false" ht="13.8" hidden="false" customHeight="false" outlineLevel="0" collapsed="false">
      <c r="A11" s="24" t="s">
        <v>79</v>
      </c>
      <c r="B11" s="35" t="n">
        <f aca="false">COUNTIF(PNEUS!G2:G1000,"Condenado")</f>
        <v>3</v>
      </c>
    </row>
    <row r="12" customFormat="false" ht="13.8" hidden="false" customHeight="false" outlineLevel="0" collapsed="false">
      <c r="A12" s="36" t="s">
        <v>80</v>
      </c>
      <c r="B12" s="37" t="n">
        <f aca="false">COUNTA(INSPECOES!A2:A1000)</f>
        <v>6</v>
      </c>
    </row>
    <row r="13" customFormat="false" ht="13.8" hidden="false" customHeight="false" outlineLevel="0" collapsed="false">
      <c r="A13" s="24" t="s">
        <v>81</v>
      </c>
      <c r="B13" s="35" t="n">
        <f aca="false">COUNTA(EVENTOS!A2:A1000)</f>
        <v>8</v>
      </c>
    </row>
    <row r="14" customFormat="false" ht="13.8" hidden="false" customHeight="false" outlineLevel="0" collapsed="false"/>
    <row r="15" customFormat="false" ht="24" hidden="false" customHeight="true" outlineLevel="0" collapsed="false">
      <c r="A15" s="8" t="s">
        <v>82</v>
      </c>
      <c r="B15" s="8"/>
      <c r="C15" s="8"/>
      <c r="D15" s="8"/>
      <c r="E15" s="8"/>
      <c r="F15" s="8"/>
      <c r="G15" s="8"/>
    </row>
    <row r="16" customFormat="false" ht="13.8" hidden="false" customHeight="false" outlineLevel="0" collapsed="false">
      <c r="A16" s="28" t="s">
        <v>83</v>
      </c>
      <c r="B16" s="28" t="s">
        <v>34</v>
      </c>
      <c r="C16" s="28" t="s">
        <v>39</v>
      </c>
      <c r="D16" s="28" t="s">
        <v>84</v>
      </c>
      <c r="E16" s="28" t="s">
        <v>85</v>
      </c>
      <c r="F16" s="28" t="s">
        <v>86</v>
      </c>
      <c r="G16" s="28" t="s">
        <v>87</v>
      </c>
    </row>
    <row r="17" customFormat="false" ht="13.8" hidden="false" customHeight="false" outlineLevel="0" collapsed="false">
      <c r="A17" s="38" t="s">
        <v>88</v>
      </c>
      <c r="B17" s="38" t="str">
        <f aca="false">VLOOKUP(A17,ATIVO_PAI!A:H,2,0)</f>
        <v>ABC1D23</v>
      </c>
      <c r="C17" s="38" t="str">
        <f aca="false">VLOOKUP(A17,ATIVO_PAI!A:H,7,0)</f>
        <v>B</v>
      </c>
      <c r="D17" s="38" t="n">
        <f aca="false">COUNTIFS(OCORRENCIAS!B:B,A17,OCORRENCIAS!F:F,"Aberta")</f>
        <v>3</v>
      </c>
      <c r="E17" s="38" t="n">
        <f aca="false">COUNTIFS(SUBATIVOS!B:B,A17,SUBATIVOS!D:D,"Degradado")</f>
        <v>1</v>
      </c>
      <c r="F17" s="38" t="n">
        <f aca="false">COUNTIFS(PNEUS!B:B,A17,PNEUS!G:G,"Condenado")</f>
        <v>0</v>
      </c>
      <c r="G17" s="38" t="str">
        <f aca="false">IF(OR(C17="D",COUNTIFS(SUBATIVOS!B:B,A17,SUBATIVOS!D:D,"Inoperante")&gt;0,F17&gt;0),"Crítico",IF(OR(C17="C",D17&gt;0,E17&gt;0),"Atenção","OK"))</f>
        <v>Atenção</v>
      </c>
    </row>
    <row r="18" customFormat="false" ht="13.8" hidden="false" customHeight="false" outlineLevel="0" collapsed="false">
      <c r="A18" s="39" t="s">
        <v>89</v>
      </c>
      <c r="B18" s="39" t="str">
        <f aca="false">VLOOKUP(A18,ATIVO_PAI!A:H,2,0)</f>
        <v>DEF4G56</v>
      </c>
      <c r="C18" s="39" t="str">
        <f aca="false">VLOOKUP(A18,ATIVO_PAI!A:H,7,0)</f>
        <v>A</v>
      </c>
      <c r="D18" s="39" t="n">
        <f aca="false">COUNTIFS(OCORRENCIAS!B:B,A18,OCORRENCIAS!F:F,"Aberta")</f>
        <v>0</v>
      </c>
      <c r="E18" s="39" t="n">
        <f aca="false">COUNTIFS(SUBATIVOS!B:B,A18,SUBATIVOS!D:D,"Degradado")</f>
        <v>0</v>
      </c>
      <c r="F18" s="39" t="n">
        <f aca="false">COUNTIFS(PNEUS!B:B,A18,PNEUS!G:G,"Condenado")</f>
        <v>0</v>
      </c>
      <c r="G18" s="39" t="str">
        <f aca="false">IF(OR(C18="D",COUNTIFS(SUBATIVOS!B:B,A18,SUBATIVOS!D:D,"Inoperante")&gt;0,F18&gt;0),"Crítico",IF(OR(C18="C",D18&gt;0,E18&gt;0),"Atenção","OK"))</f>
        <v>OK</v>
      </c>
    </row>
    <row r="19" customFormat="false" ht="13.8" hidden="false" customHeight="false" outlineLevel="0" collapsed="false">
      <c r="A19" s="38" t="s">
        <v>30</v>
      </c>
      <c r="B19" s="38" t="str">
        <f aca="false">VLOOKUP(A19,ATIVO_PAI!A:H,2,0)</f>
        <v>GHI7J89</v>
      </c>
      <c r="C19" s="38" t="str">
        <f aca="false">VLOOKUP(A19,ATIVO_PAI!A:H,7,0)</f>
        <v>C</v>
      </c>
      <c r="D19" s="38" t="n">
        <f aca="false">COUNTIFS(OCORRENCIAS!B:B,A19,OCORRENCIAS!F:F,"Aberta")</f>
        <v>4</v>
      </c>
      <c r="E19" s="38" t="n">
        <f aca="false">COUNTIFS(SUBATIVOS!B:B,A19,SUBATIVOS!D:D,"Degradado")</f>
        <v>2</v>
      </c>
      <c r="F19" s="38" t="n">
        <f aca="false">COUNTIFS(PNEUS!B:B,A19,PNEUS!G:G,"Condenado")</f>
        <v>1</v>
      </c>
      <c r="G19" s="38" t="str">
        <f aca="false">IF(OR(C19="D",COUNTIFS(SUBATIVOS!B:B,A19,SUBATIVOS!D:D,"Inoperante")&gt;0,F19&gt;0),"Crítico",IF(OR(C19="C",D19&gt;0,E19&gt;0),"Atenção","OK"))</f>
        <v>Crítico</v>
      </c>
    </row>
    <row r="20" customFormat="false" ht="13.8" hidden="false" customHeight="false" outlineLevel="0" collapsed="false">
      <c r="A20" s="39" t="s">
        <v>90</v>
      </c>
      <c r="B20" s="39" t="str">
        <f aca="false">VLOOKUP(A20,ATIVO_PAI!A:H,2,0)</f>
        <v>JKL0M12</v>
      </c>
      <c r="C20" s="39" t="str">
        <f aca="false">VLOOKUP(A20,ATIVO_PAI!A:H,7,0)</f>
        <v>D</v>
      </c>
      <c r="D20" s="39" t="n">
        <f aca="false">COUNTIFS(OCORRENCIAS!B:B,A20,OCORRENCIAS!F:F,"Aberta")</f>
        <v>3</v>
      </c>
      <c r="E20" s="39" t="n">
        <f aca="false">COUNTIFS(SUBATIVOS!B:B,A20,SUBATIVOS!D:D,"Degradado")</f>
        <v>1</v>
      </c>
      <c r="F20" s="39" t="n">
        <f aca="false">COUNTIFS(PNEUS!B:B,A20,PNEUS!G:G,"Condenado")</f>
        <v>2</v>
      </c>
      <c r="G20" s="39" t="str">
        <f aca="false">IF(OR(C20="D",COUNTIFS(SUBATIVOS!B:B,A20,SUBATIVOS!D:D,"Inoperante")&gt;0,F20&gt;0),"Crítico",IF(OR(C20="C",D20&gt;0,E20&gt;0),"Atenção","OK"))</f>
        <v>Crítico</v>
      </c>
    </row>
    <row r="21" customFormat="false" ht="13.8" hidden="false" customHeight="false" outlineLevel="0" collapsed="false">
      <c r="A21" s="38" t="s">
        <v>91</v>
      </c>
      <c r="B21" s="38" t="str">
        <f aca="false">VLOOKUP(A21,ATIVO_PAI!A:H,2,0)</f>
        <v>MNO3P45</v>
      </c>
      <c r="C21" s="38" t="str">
        <f aca="false">VLOOKUP(A21,ATIVO_PAI!A:H,7,0)</f>
        <v>A</v>
      </c>
      <c r="D21" s="38" t="n">
        <f aca="false">COUNTIFS(OCORRENCIAS!B:B,A21,OCORRENCIAS!F:F,"Aberta")</f>
        <v>1</v>
      </c>
      <c r="E21" s="38" t="n">
        <f aca="false">COUNTIFS(SUBATIVOS!B:B,A21,SUBATIVOS!D:D,"Degradado")</f>
        <v>0</v>
      </c>
      <c r="F21" s="38" t="n">
        <f aca="false">COUNTIFS(PNEUS!B:B,A21,PNEUS!G:G,"Condenado")</f>
        <v>0</v>
      </c>
      <c r="G21" s="38" t="str">
        <f aca="false">IF(OR(C21="D",COUNTIFS(SUBATIVOS!B:B,A21,SUBATIVOS!D:D,"Inoperante")&gt;0,F21&gt;0),"Crítico",IF(OR(C21="C",D21&gt;0,E21&gt;0),"Atenção","OK"))</f>
        <v>Atenção</v>
      </c>
    </row>
    <row r="22" customFormat="false" ht="13.8" hidden="false" customHeight="false" outlineLevel="0" collapsed="false"/>
    <row r="23" customFormat="false" ht="24" hidden="false" customHeight="true" outlineLevel="0" collapsed="false">
      <c r="A23" s="8" t="s">
        <v>92</v>
      </c>
      <c r="B23" s="8"/>
      <c r="C23" s="8"/>
      <c r="D23" s="8"/>
      <c r="E23" s="8"/>
      <c r="F23" s="8"/>
      <c r="G23" s="8"/>
    </row>
    <row r="24" customFormat="false" ht="13.8" hidden="false" customHeight="false" outlineLevel="0" collapsed="false">
      <c r="A24" s="28" t="s">
        <v>61</v>
      </c>
      <c r="B24" s="28" t="s">
        <v>83</v>
      </c>
      <c r="C24" s="28" t="s">
        <v>34</v>
      </c>
      <c r="D24" s="28" t="s">
        <v>35</v>
      </c>
      <c r="E24" s="28" t="s">
        <v>46</v>
      </c>
      <c r="F24" s="28" t="s">
        <v>62</v>
      </c>
      <c r="G24" s="28" t="s">
        <v>59</v>
      </c>
    </row>
    <row r="25" customFormat="false" ht="13.8" hidden="false" customHeight="false" outlineLevel="0" collapsed="false">
      <c r="A25" s="24"/>
      <c r="B25" s="24" t="str">
        <f aca="false">IF(A25="","",VLOOKUP(A25,OCORRENCIAS!A:B,2,0))</f>
        <v/>
      </c>
      <c r="C25" s="24" t="str">
        <f aca="false">IF(B25="","",VLOOKUP(B25,ATIVO_PAI!A:B,2,0))</f>
        <v/>
      </c>
      <c r="D25" s="24" t="str">
        <f aca="false">IF(A25="","",VLOOKUP(A25,OCORRENCIAS!A:C,3,0))</f>
        <v/>
      </c>
      <c r="E25" s="24" t="str">
        <f aca="false">IF(A25="","",VLOOKUP(A25,OCORRENCIAS!A:D,4,0))</f>
        <v/>
      </c>
      <c r="F25" s="24" t="str">
        <f aca="false">IF(A25="","",VLOOKUP(A25,OCORRENCIAS!A:E,5,0))</f>
        <v/>
      </c>
      <c r="G25" s="24" t="str">
        <f aca="false">IF(A25="","",VLOOKUP(A25,OCORRENCIAS!A:F,6,0))</f>
        <v/>
      </c>
    </row>
    <row r="26" customFormat="false" ht="13.8" hidden="false" customHeight="false" outlineLevel="0" collapsed="false">
      <c r="A26" s="24"/>
      <c r="B26" s="24" t="str">
        <f aca="false">IF(A26="","",VLOOKUP(A26,OCORRENCIAS!A:B,2,0))</f>
        <v/>
      </c>
      <c r="C26" s="24" t="str">
        <f aca="false">IF(B26="","",VLOOKUP(B26,ATIVO_PAI!A:B,2,0))</f>
        <v/>
      </c>
      <c r="D26" s="24" t="str">
        <f aca="false">IF(A26="","",VLOOKUP(A26,OCORRENCIAS!A:C,3,0))</f>
        <v/>
      </c>
      <c r="E26" s="24" t="str">
        <f aca="false">IF(A26="","",VLOOKUP(A26,OCORRENCIAS!A:D,4,0))</f>
        <v/>
      </c>
      <c r="F26" s="24" t="str">
        <f aca="false">IF(A26="","",VLOOKUP(A26,OCORRENCIAS!A:E,5,0))</f>
        <v/>
      </c>
      <c r="G26" s="24" t="str">
        <f aca="false">IF(A26="","",VLOOKUP(A26,OCORRENCIAS!A:F,6,0))</f>
        <v/>
      </c>
    </row>
    <row r="27" customFormat="false" ht="13.8" hidden="false" customHeight="false" outlineLevel="0" collapsed="false">
      <c r="A27" s="24"/>
      <c r="B27" s="24" t="str">
        <f aca="false">IF(A27="","",VLOOKUP(A27,OCORRENCIAS!A:B,2,0))</f>
        <v/>
      </c>
      <c r="C27" s="24" t="str">
        <f aca="false">IF(B27="","",VLOOKUP(B27,ATIVO_PAI!A:B,2,0))</f>
        <v/>
      </c>
      <c r="D27" s="24" t="str">
        <f aca="false">IF(A27="","",VLOOKUP(A27,OCORRENCIAS!A:C,3,0))</f>
        <v/>
      </c>
      <c r="E27" s="24" t="str">
        <f aca="false">IF(A27="","",VLOOKUP(A27,OCORRENCIAS!A:D,4,0))</f>
        <v/>
      </c>
      <c r="F27" s="24" t="str">
        <f aca="false">IF(A27="","",VLOOKUP(A27,OCORRENCIAS!A:E,5,0))</f>
        <v/>
      </c>
      <c r="G27" s="24" t="str">
        <f aca="false">IF(A27="","",VLOOKUP(A27,OCORRENCIAS!A:F,6,0))</f>
        <v/>
      </c>
    </row>
    <row r="28" customFormat="false" ht="13.8" hidden="false" customHeight="false" outlineLevel="0" collapsed="false">
      <c r="A28" s="24"/>
      <c r="B28" s="24" t="str">
        <f aca="false">IF(A28="","",VLOOKUP(A28,OCORRENCIAS!A:B,2,0))</f>
        <v/>
      </c>
      <c r="C28" s="24" t="str">
        <f aca="false">IF(B28="","",VLOOKUP(B28,ATIVO_PAI!A:B,2,0))</f>
        <v/>
      </c>
      <c r="D28" s="24" t="str">
        <f aca="false">IF(A28="","",VLOOKUP(A28,OCORRENCIAS!A:C,3,0))</f>
        <v/>
      </c>
      <c r="E28" s="24" t="str">
        <f aca="false">IF(A28="","",VLOOKUP(A28,OCORRENCIAS!A:D,4,0))</f>
        <v/>
      </c>
      <c r="F28" s="24" t="str">
        <f aca="false">IF(A28="","",VLOOKUP(A28,OCORRENCIAS!A:E,5,0))</f>
        <v/>
      </c>
      <c r="G28" s="24" t="str">
        <f aca="false">IF(A28="","",VLOOKUP(A28,OCORRENCIAS!A:F,6,0))</f>
        <v/>
      </c>
    </row>
    <row r="29" customFormat="false" ht="13.8" hidden="false" customHeight="false" outlineLevel="0" collapsed="false">
      <c r="A29" s="24"/>
      <c r="B29" s="24" t="str">
        <f aca="false">IF(A29="","",VLOOKUP(A29,OCORRENCIAS!A:B,2,0))</f>
        <v/>
      </c>
      <c r="C29" s="24" t="str">
        <f aca="false">IF(B29="","",VLOOKUP(B29,ATIVO_PAI!A:B,2,0))</f>
        <v/>
      </c>
      <c r="D29" s="24" t="str">
        <f aca="false">IF(A29="","",VLOOKUP(A29,OCORRENCIAS!A:C,3,0))</f>
        <v/>
      </c>
      <c r="E29" s="24" t="str">
        <f aca="false">IF(A29="","",VLOOKUP(A29,OCORRENCIAS!A:D,4,0))</f>
        <v/>
      </c>
      <c r="F29" s="24" t="str">
        <f aca="false">IF(A29="","",VLOOKUP(A29,OCORRENCIAS!A:E,5,0))</f>
        <v/>
      </c>
      <c r="G29" s="24" t="str">
        <f aca="false">IF(A29="","",VLOOKUP(A29,OCORRENCIAS!A:F,6,0))</f>
        <v/>
      </c>
    </row>
    <row r="30" customFormat="false" ht="13.8" hidden="false" customHeight="false" outlineLevel="0" collapsed="false">
      <c r="A30" s="24"/>
      <c r="B30" s="24" t="str">
        <f aca="false">IF(A30="","",VLOOKUP(A30,OCORRENCIAS!A:B,2,0))</f>
        <v/>
      </c>
      <c r="C30" s="24" t="str">
        <f aca="false">IF(B30="","",VLOOKUP(B30,ATIVO_PAI!A:B,2,0))</f>
        <v/>
      </c>
      <c r="D30" s="24" t="str">
        <f aca="false">IF(A30="","",VLOOKUP(A30,OCORRENCIAS!A:C,3,0))</f>
        <v/>
      </c>
      <c r="E30" s="24" t="str">
        <f aca="false">IF(A30="","",VLOOKUP(A30,OCORRENCIAS!A:D,4,0))</f>
        <v/>
      </c>
      <c r="F30" s="24" t="str">
        <f aca="false">IF(A30="","",VLOOKUP(A30,OCORRENCIAS!A:E,5,0))</f>
        <v/>
      </c>
      <c r="G30" s="24" t="str">
        <f aca="false">IF(A30="","",VLOOKUP(A30,OCORRENCIAS!A:F,6,0))</f>
        <v/>
      </c>
    </row>
    <row r="31" customFormat="false" ht="13.8" hidden="false" customHeight="false" outlineLevel="0" collapsed="false">
      <c r="A31" s="24"/>
      <c r="B31" s="24" t="str">
        <f aca="false">IF(A31="","",VLOOKUP(A31,OCORRENCIAS!A:B,2,0))</f>
        <v/>
      </c>
      <c r="C31" s="24" t="str">
        <f aca="false">IF(B31="","",VLOOKUP(B31,ATIVO_PAI!A:B,2,0))</f>
        <v/>
      </c>
      <c r="D31" s="24" t="str">
        <f aca="false">IF(A31="","",VLOOKUP(A31,OCORRENCIAS!A:C,3,0))</f>
        <v/>
      </c>
      <c r="E31" s="24" t="str">
        <f aca="false">IF(A31="","",VLOOKUP(A31,OCORRENCIAS!A:D,4,0))</f>
        <v/>
      </c>
      <c r="F31" s="24" t="str">
        <f aca="false">IF(A31="","",VLOOKUP(A31,OCORRENCIAS!A:E,5,0))</f>
        <v/>
      </c>
      <c r="G31" s="24" t="str">
        <f aca="false">IF(A31="","",VLOOKUP(A31,OCORRENCIAS!A:F,6,0))</f>
        <v/>
      </c>
    </row>
    <row r="32" customFormat="false" ht="13.8" hidden="false" customHeight="false" outlineLevel="0" collapsed="false">
      <c r="A32" s="24"/>
      <c r="B32" s="24" t="str">
        <f aca="false">IF(A32="","",VLOOKUP(A32,OCORRENCIAS!A:B,2,0))</f>
        <v/>
      </c>
      <c r="C32" s="24" t="str">
        <f aca="false">IF(B32="","",VLOOKUP(B32,ATIVO_PAI!A:B,2,0))</f>
        <v/>
      </c>
      <c r="D32" s="24" t="str">
        <f aca="false">IF(A32="","",VLOOKUP(A32,OCORRENCIAS!A:C,3,0))</f>
        <v/>
      </c>
      <c r="E32" s="24" t="str">
        <f aca="false">IF(A32="","",VLOOKUP(A32,OCORRENCIAS!A:D,4,0))</f>
        <v/>
      </c>
      <c r="F32" s="24" t="str">
        <f aca="false">IF(A32="","",VLOOKUP(A32,OCORRENCIAS!A:E,5,0))</f>
        <v/>
      </c>
      <c r="G32" s="24" t="str">
        <f aca="false">IF(A32="","",VLOOKUP(A32,OCORRENCIAS!A:F,6,0))</f>
        <v/>
      </c>
    </row>
    <row r="33" customFormat="false" ht="13.8" hidden="false" customHeight="false" outlineLevel="0" collapsed="false">
      <c r="A33" s="24"/>
      <c r="B33" s="24" t="str">
        <f aca="false">IF(A33="","",VLOOKUP(A33,OCORRENCIAS!A:B,2,0))</f>
        <v/>
      </c>
      <c r="C33" s="24" t="str">
        <f aca="false">IF(B33="","",VLOOKUP(B33,ATIVO_PAI!A:B,2,0))</f>
        <v/>
      </c>
      <c r="D33" s="24" t="str">
        <f aca="false">IF(A33="","",VLOOKUP(A33,OCORRENCIAS!A:C,3,0))</f>
        <v/>
      </c>
      <c r="E33" s="24" t="str">
        <f aca="false">IF(A33="","",VLOOKUP(A33,OCORRENCIAS!A:D,4,0))</f>
        <v/>
      </c>
      <c r="F33" s="24" t="str">
        <f aca="false">IF(A33="","",VLOOKUP(A33,OCORRENCIAS!A:E,5,0))</f>
        <v/>
      </c>
      <c r="G33" s="24" t="str">
        <f aca="false">IF(A33="","",VLOOKUP(A33,OCORRENCIAS!A:F,6,0))</f>
        <v/>
      </c>
    </row>
    <row r="34" customFormat="false" ht="13.8" hidden="false" customHeight="false" outlineLevel="0" collapsed="false">
      <c r="A34" s="24"/>
      <c r="B34" s="24" t="str">
        <f aca="false">IF(A34="","",VLOOKUP(A34,OCORRENCIAS!A:B,2,0))</f>
        <v/>
      </c>
      <c r="C34" s="24" t="str">
        <f aca="false">IF(B34="","",VLOOKUP(B34,ATIVO_PAI!A:B,2,0))</f>
        <v/>
      </c>
      <c r="D34" s="24" t="str">
        <f aca="false">IF(A34="","",VLOOKUP(A34,OCORRENCIAS!A:C,3,0))</f>
        <v/>
      </c>
      <c r="E34" s="24" t="str">
        <f aca="false">IF(A34="","",VLOOKUP(A34,OCORRENCIAS!A:D,4,0))</f>
        <v/>
      </c>
      <c r="F34" s="24" t="str">
        <f aca="false">IF(A34="","",VLOOKUP(A34,OCORRENCIAS!A:E,5,0))</f>
        <v/>
      </c>
      <c r="G34" s="24" t="str">
        <f aca="false">IF(A34="","",VLOOKUP(A34,OCORRENCIAS!A:F,6,0))</f>
        <v/>
      </c>
    </row>
  </sheetData>
  <mergeCells count="3">
    <mergeCell ref="A1:G1"/>
    <mergeCell ref="A15:G15"/>
    <mergeCell ref="A23:G23"/>
  </mergeCells>
  <conditionalFormatting sqref="G17:G21">
    <cfRule type="cellIs" priority="2" operator="equal" aboveAverage="0" equalAverage="0" bottom="0" percent="0" rank="0" text="" dxfId="7">
      <formula>"Crítico"</formula>
    </cfRule>
    <cfRule type="cellIs" priority="3" operator="equal" aboveAverage="0" equalAverage="0" bottom="0" percent="0" rank="0" text="" dxfId="8">
      <formula>"Atenção"</formula>
    </cfRule>
    <cfRule type="cellIs" priority="4" operator="equal" aboveAverage="0" equalAverage="0" bottom="0" percent="0" rank="0" text="" dxfId="9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8" min="8" style="0" width="22"/>
    <col collapsed="false" customWidth="true" hidden="false" outlineLevel="0" max="10" min="9" style="0" width="14"/>
  </cols>
  <sheetData>
    <row r="1" customFormat="false" ht="21.75" hidden="false" customHeight="true" outlineLevel="0" collapsed="false">
      <c r="A1" s="40" t="s">
        <v>83</v>
      </c>
      <c r="B1" s="40" t="s">
        <v>34</v>
      </c>
      <c r="C1" s="40" t="s">
        <v>35</v>
      </c>
      <c r="D1" s="40" t="s">
        <v>93</v>
      </c>
      <c r="E1" s="40" t="s">
        <v>37</v>
      </c>
      <c r="F1" s="40" t="s">
        <v>94</v>
      </c>
      <c r="G1" s="40" t="s">
        <v>95</v>
      </c>
      <c r="H1" s="40" t="s">
        <v>96</v>
      </c>
    </row>
    <row r="2" customFormat="false" ht="13.8" hidden="false" customHeight="false" outlineLevel="0" collapsed="false">
      <c r="A2" s="0" t="s">
        <v>88</v>
      </c>
      <c r="B2" s="0" t="s">
        <v>97</v>
      </c>
      <c r="C2" s="41" t="s">
        <v>98</v>
      </c>
      <c r="D2" s="41" t="s">
        <v>99</v>
      </c>
      <c r="E2" s="0" t="s">
        <v>100</v>
      </c>
      <c r="F2" s="0" t="n">
        <v>152340</v>
      </c>
      <c r="G2" s="41" t="s">
        <v>101</v>
      </c>
      <c r="H2" s="0" t="s">
        <v>102</v>
      </c>
    </row>
    <row r="3" customFormat="false" ht="13.8" hidden="false" customHeight="false" outlineLevel="0" collapsed="false">
      <c r="A3" s="0" t="s">
        <v>89</v>
      </c>
      <c r="B3" s="0" t="s">
        <v>103</v>
      </c>
      <c r="C3" s="41" t="s">
        <v>104</v>
      </c>
      <c r="D3" s="41" t="s">
        <v>105</v>
      </c>
      <c r="F3" s="0" t="n">
        <v>82300</v>
      </c>
      <c r="G3" s="41" t="s">
        <v>106</v>
      </c>
      <c r="H3" s="0" t="s">
        <v>102</v>
      </c>
    </row>
    <row r="4" customFormat="false" ht="13.8" hidden="false" customHeight="false" outlineLevel="0" collapsed="false">
      <c r="A4" s="0" t="s">
        <v>30</v>
      </c>
      <c r="B4" s="0" t="s">
        <v>107</v>
      </c>
      <c r="C4" s="41" t="s">
        <v>108</v>
      </c>
      <c r="D4" s="41" t="s">
        <v>99</v>
      </c>
      <c r="E4" s="0" t="s">
        <v>109</v>
      </c>
      <c r="F4" s="0" t="n">
        <v>98750</v>
      </c>
      <c r="G4" s="41" t="s">
        <v>110</v>
      </c>
      <c r="H4" s="0" t="s">
        <v>111</v>
      </c>
    </row>
    <row r="5" customFormat="false" ht="13.8" hidden="false" customHeight="false" outlineLevel="0" collapsed="false">
      <c r="A5" s="0" t="s">
        <v>90</v>
      </c>
      <c r="B5" s="0" t="s">
        <v>112</v>
      </c>
      <c r="C5" s="41" t="s">
        <v>113</v>
      </c>
      <c r="D5" s="41" t="s">
        <v>105</v>
      </c>
      <c r="F5" s="0" t="n">
        <v>4200</v>
      </c>
      <c r="G5" s="41" t="s">
        <v>114</v>
      </c>
      <c r="H5" s="0" t="s">
        <v>115</v>
      </c>
    </row>
    <row r="6" customFormat="false" ht="13.8" hidden="false" customHeight="false" outlineLevel="0" collapsed="false">
      <c r="A6" s="0" t="s">
        <v>91</v>
      </c>
      <c r="B6" s="0" t="s">
        <v>116</v>
      </c>
      <c r="C6" s="41" t="s">
        <v>117</v>
      </c>
      <c r="D6" s="41" t="s">
        <v>105</v>
      </c>
      <c r="F6" s="0" t="n">
        <v>18400</v>
      </c>
      <c r="G6" s="41" t="s">
        <v>106</v>
      </c>
      <c r="H6" s="0" t="s">
        <v>118</v>
      </c>
    </row>
    <row r="7" customFormat="false" ht="15" hidden="false" customHeight="false" outlineLevel="0" collapsed="false">
      <c r="C7" s="41"/>
      <c r="D7" s="41"/>
      <c r="G7" s="41"/>
    </row>
    <row r="8" customFormat="false" ht="15" hidden="false" customHeight="false" outlineLevel="0" collapsed="false">
      <c r="C8" s="41"/>
      <c r="D8" s="41"/>
      <c r="G8" s="41"/>
    </row>
    <row r="9" customFormat="false" ht="15" hidden="false" customHeight="false" outlineLevel="0" collapsed="false">
      <c r="C9" s="41"/>
      <c r="D9" s="41"/>
      <c r="G9" s="41"/>
    </row>
    <row r="10" customFormat="false" ht="15" hidden="false" customHeight="false" outlineLevel="0" collapsed="false">
      <c r="C10" s="41"/>
      <c r="D10" s="41"/>
      <c r="G10" s="41"/>
    </row>
    <row r="11" customFormat="false" ht="15" hidden="false" customHeight="false" outlineLevel="0" collapsed="false">
      <c r="C11" s="41"/>
      <c r="D11" s="41"/>
      <c r="G11" s="41"/>
    </row>
    <row r="12" customFormat="false" ht="15" hidden="false" customHeight="false" outlineLevel="0" collapsed="false">
      <c r="C12" s="41"/>
      <c r="D12" s="41"/>
      <c r="G12" s="41"/>
    </row>
    <row r="13" customFormat="false" ht="15" hidden="false" customHeight="false" outlineLevel="0" collapsed="false">
      <c r="C13" s="41"/>
      <c r="D13" s="41"/>
      <c r="G13" s="41"/>
    </row>
    <row r="14" customFormat="false" ht="15" hidden="false" customHeight="false" outlineLevel="0" collapsed="false">
      <c r="C14" s="41"/>
      <c r="D14" s="41"/>
      <c r="G14" s="41"/>
    </row>
    <row r="15" customFormat="false" ht="15" hidden="false" customHeight="false" outlineLevel="0" collapsed="false">
      <c r="C15" s="41"/>
      <c r="D15" s="41"/>
      <c r="G15" s="41"/>
    </row>
    <row r="16" customFormat="false" ht="15" hidden="false" customHeight="false" outlineLevel="0" collapsed="false">
      <c r="C16" s="41"/>
      <c r="D16" s="41"/>
      <c r="G16" s="41"/>
    </row>
    <row r="17" customFormat="false" ht="15" hidden="false" customHeight="false" outlineLevel="0" collapsed="false">
      <c r="C17" s="41"/>
      <c r="D17" s="41"/>
      <c r="G17" s="41"/>
    </row>
    <row r="18" customFormat="false" ht="15" hidden="false" customHeight="false" outlineLevel="0" collapsed="false">
      <c r="C18" s="41"/>
      <c r="D18" s="41"/>
      <c r="G18" s="41"/>
    </row>
    <row r="19" customFormat="false" ht="15" hidden="false" customHeight="false" outlineLevel="0" collapsed="false">
      <c r="C19" s="41"/>
      <c r="D19" s="41"/>
      <c r="G19" s="41"/>
    </row>
    <row r="20" customFormat="false" ht="15" hidden="false" customHeight="false" outlineLevel="0" collapsed="false">
      <c r="C20" s="41"/>
      <c r="D20" s="41"/>
      <c r="G20" s="41"/>
    </row>
    <row r="21" customFormat="false" ht="15" hidden="false" customHeight="false" outlineLevel="0" collapsed="false">
      <c r="C21" s="41"/>
      <c r="D21" s="41"/>
      <c r="G21" s="41"/>
    </row>
    <row r="22" customFormat="false" ht="15" hidden="false" customHeight="false" outlineLevel="0" collapsed="false">
      <c r="C22" s="41"/>
      <c r="D22" s="41"/>
      <c r="G22" s="41"/>
    </row>
    <row r="23" customFormat="false" ht="15" hidden="false" customHeight="false" outlineLevel="0" collapsed="false">
      <c r="C23" s="41"/>
      <c r="D23" s="41"/>
      <c r="G23" s="41"/>
    </row>
    <row r="24" customFormat="false" ht="15" hidden="false" customHeight="false" outlineLevel="0" collapsed="false">
      <c r="C24" s="41"/>
      <c r="D24" s="41"/>
      <c r="G24" s="41"/>
    </row>
    <row r="25" customFormat="false" ht="15" hidden="false" customHeight="false" outlineLevel="0" collapsed="false">
      <c r="C25" s="41"/>
      <c r="D25" s="41"/>
      <c r="G25" s="41"/>
    </row>
    <row r="26" customFormat="false" ht="15" hidden="false" customHeight="false" outlineLevel="0" collapsed="false">
      <c r="C26" s="41"/>
      <c r="D26" s="41"/>
      <c r="G26" s="41"/>
    </row>
    <row r="27" customFormat="false" ht="15" hidden="false" customHeight="false" outlineLevel="0" collapsed="false">
      <c r="C27" s="41"/>
      <c r="D27" s="41"/>
      <c r="G27" s="41"/>
    </row>
    <row r="28" customFormat="false" ht="15" hidden="false" customHeight="false" outlineLevel="0" collapsed="false">
      <c r="C28" s="41"/>
      <c r="D28" s="41"/>
      <c r="G28" s="41"/>
    </row>
    <row r="29" customFormat="false" ht="15" hidden="false" customHeight="false" outlineLevel="0" collapsed="false">
      <c r="C29" s="41"/>
      <c r="D29" s="41"/>
      <c r="G29" s="41"/>
    </row>
    <row r="30" customFormat="false" ht="15" hidden="false" customHeight="false" outlineLevel="0" collapsed="false">
      <c r="C30" s="41"/>
      <c r="D30" s="41"/>
      <c r="G30" s="41"/>
    </row>
    <row r="31" customFormat="false" ht="15" hidden="false" customHeight="false" outlineLevel="0" collapsed="false">
      <c r="C31" s="41"/>
      <c r="D31" s="41"/>
      <c r="G31" s="41"/>
    </row>
    <row r="32" customFormat="false" ht="15" hidden="false" customHeight="false" outlineLevel="0" collapsed="false">
      <c r="C32" s="41"/>
      <c r="D32" s="41"/>
      <c r="G32" s="41"/>
    </row>
    <row r="33" customFormat="false" ht="15" hidden="false" customHeight="false" outlineLevel="0" collapsed="false">
      <c r="C33" s="41"/>
      <c r="D33" s="41"/>
      <c r="G33" s="41"/>
    </row>
    <row r="34" customFormat="false" ht="15" hidden="false" customHeight="false" outlineLevel="0" collapsed="false">
      <c r="C34" s="41"/>
      <c r="D34" s="41"/>
      <c r="G34" s="41"/>
    </row>
    <row r="35" customFormat="false" ht="15" hidden="false" customHeight="false" outlineLevel="0" collapsed="false">
      <c r="C35" s="41"/>
      <c r="D35" s="41"/>
      <c r="G35" s="41"/>
    </row>
    <row r="36" customFormat="false" ht="15" hidden="false" customHeight="false" outlineLevel="0" collapsed="false">
      <c r="C36" s="41"/>
      <c r="D36" s="41"/>
      <c r="G36" s="41"/>
    </row>
    <row r="37" customFormat="false" ht="15" hidden="false" customHeight="false" outlineLevel="0" collapsed="false">
      <c r="C37" s="41"/>
      <c r="D37" s="41"/>
      <c r="G37" s="41"/>
    </row>
    <row r="38" customFormat="false" ht="15" hidden="false" customHeight="false" outlineLevel="0" collapsed="false">
      <c r="C38" s="41"/>
      <c r="D38" s="41"/>
      <c r="G38" s="41"/>
    </row>
    <row r="39" customFormat="false" ht="15" hidden="false" customHeight="false" outlineLevel="0" collapsed="false">
      <c r="C39" s="41"/>
      <c r="D39" s="41"/>
      <c r="G39" s="41"/>
    </row>
    <row r="40" customFormat="false" ht="15" hidden="false" customHeight="false" outlineLevel="0" collapsed="false">
      <c r="C40" s="41"/>
      <c r="D40" s="41"/>
      <c r="G40" s="41"/>
    </row>
    <row r="41" customFormat="false" ht="15" hidden="false" customHeight="false" outlineLevel="0" collapsed="false">
      <c r="C41" s="41"/>
      <c r="D41" s="41"/>
      <c r="G41" s="41"/>
    </row>
    <row r="42" customFormat="false" ht="15" hidden="false" customHeight="false" outlineLevel="0" collapsed="false">
      <c r="C42" s="41"/>
      <c r="D42" s="41"/>
      <c r="G42" s="41"/>
    </row>
    <row r="43" customFormat="false" ht="15" hidden="false" customHeight="false" outlineLevel="0" collapsed="false">
      <c r="C43" s="41"/>
      <c r="D43" s="41"/>
      <c r="G43" s="41"/>
    </row>
    <row r="44" customFormat="false" ht="15" hidden="false" customHeight="false" outlineLevel="0" collapsed="false">
      <c r="C44" s="41"/>
      <c r="D44" s="41"/>
      <c r="G44" s="41"/>
    </row>
    <row r="45" customFormat="false" ht="15" hidden="false" customHeight="false" outlineLevel="0" collapsed="false">
      <c r="C45" s="41"/>
      <c r="D45" s="41"/>
      <c r="G45" s="41"/>
    </row>
    <row r="46" customFormat="false" ht="15" hidden="false" customHeight="false" outlineLevel="0" collapsed="false">
      <c r="C46" s="41"/>
      <c r="D46" s="41"/>
      <c r="G46" s="41"/>
    </row>
    <row r="47" customFormat="false" ht="15" hidden="false" customHeight="false" outlineLevel="0" collapsed="false">
      <c r="C47" s="41"/>
      <c r="D47" s="41"/>
      <c r="G47" s="41"/>
    </row>
    <row r="48" customFormat="false" ht="15" hidden="false" customHeight="false" outlineLevel="0" collapsed="false">
      <c r="C48" s="41"/>
      <c r="D48" s="41"/>
      <c r="G48" s="41"/>
    </row>
    <row r="49" customFormat="false" ht="15" hidden="false" customHeight="false" outlineLevel="0" collapsed="false">
      <c r="C49" s="41"/>
      <c r="D49" s="41"/>
      <c r="G49" s="41"/>
    </row>
    <row r="50" customFormat="false" ht="15" hidden="false" customHeight="false" outlineLevel="0" collapsed="false">
      <c r="C50" s="41"/>
      <c r="D50" s="41"/>
      <c r="G50" s="41"/>
    </row>
    <row r="51" customFormat="false" ht="15" hidden="false" customHeight="false" outlineLevel="0" collapsed="false">
      <c r="C51" s="41"/>
      <c r="D51" s="41"/>
      <c r="G51" s="41"/>
    </row>
    <row r="52" customFormat="false" ht="15" hidden="false" customHeight="false" outlineLevel="0" collapsed="false">
      <c r="C52" s="41"/>
      <c r="D52" s="41"/>
      <c r="G52" s="41"/>
    </row>
    <row r="53" customFormat="false" ht="15" hidden="false" customHeight="false" outlineLevel="0" collapsed="false">
      <c r="C53" s="41"/>
      <c r="D53" s="41"/>
      <c r="G53" s="41"/>
    </row>
    <row r="54" customFormat="false" ht="15" hidden="false" customHeight="false" outlineLevel="0" collapsed="false">
      <c r="C54" s="41"/>
      <c r="D54" s="41"/>
      <c r="G54" s="41"/>
    </row>
    <row r="55" customFormat="false" ht="15" hidden="false" customHeight="false" outlineLevel="0" collapsed="false">
      <c r="C55" s="41"/>
      <c r="D55" s="41"/>
      <c r="G55" s="41"/>
    </row>
    <row r="56" customFormat="false" ht="15" hidden="false" customHeight="false" outlineLevel="0" collapsed="false">
      <c r="C56" s="41"/>
      <c r="D56" s="41"/>
      <c r="G56" s="41"/>
    </row>
    <row r="57" customFormat="false" ht="15" hidden="false" customHeight="false" outlineLevel="0" collapsed="false">
      <c r="C57" s="41"/>
      <c r="D57" s="41"/>
      <c r="G57" s="41"/>
    </row>
    <row r="58" customFormat="false" ht="15" hidden="false" customHeight="false" outlineLevel="0" collapsed="false">
      <c r="C58" s="41"/>
      <c r="D58" s="41"/>
      <c r="G58" s="41"/>
    </row>
    <row r="59" customFormat="false" ht="15" hidden="false" customHeight="false" outlineLevel="0" collapsed="false">
      <c r="C59" s="41"/>
      <c r="D59" s="41"/>
      <c r="G59" s="41"/>
    </row>
    <row r="60" customFormat="false" ht="15" hidden="false" customHeight="false" outlineLevel="0" collapsed="false">
      <c r="C60" s="41"/>
      <c r="D60" s="41"/>
      <c r="G60" s="41"/>
    </row>
    <row r="61" customFormat="false" ht="15" hidden="false" customHeight="false" outlineLevel="0" collapsed="false">
      <c r="C61" s="41"/>
      <c r="D61" s="41"/>
      <c r="G61" s="41"/>
    </row>
    <row r="62" customFormat="false" ht="15" hidden="false" customHeight="false" outlineLevel="0" collapsed="false">
      <c r="C62" s="41"/>
      <c r="D62" s="41"/>
      <c r="G62" s="41"/>
    </row>
    <row r="63" customFormat="false" ht="15" hidden="false" customHeight="false" outlineLevel="0" collapsed="false">
      <c r="C63" s="41"/>
      <c r="D63" s="41"/>
      <c r="G63" s="41"/>
    </row>
    <row r="64" customFormat="false" ht="15" hidden="false" customHeight="false" outlineLevel="0" collapsed="false">
      <c r="C64" s="41"/>
      <c r="D64" s="41"/>
      <c r="G64" s="41"/>
    </row>
    <row r="65" customFormat="false" ht="15" hidden="false" customHeight="false" outlineLevel="0" collapsed="false">
      <c r="C65" s="41"/>
      <c r="D65" s="41"/>
      <c r="G65" s="41"/>
    </row>
    <row r="66" customFormat="false" ht="15" hidden="false" customHeight="false" outlineLevel="0" collapsed="false">
      <c r="C66" s="41"/>
      <c r="D66" s="41"/>
      <c r="G66" s="41"/>
    </row>
    <row r="67" customFormat="false" ht="15" hidden="false" customHeight="false" outlineLevel="0" collapsed="false">
      <c r="C67" s="41"/>
      <c r="D67" s="41"/>
      <c r="G67" s="41"/>
    </row>
    <row r="68" customFormat="false" ht="15" hidden="false" customHeight="false" outlineLevel="0" collapsed="false">
      <c r="C68" s="41"/>
      <c r="D68" s="41"/>
      <c r="G68" s="41"/>
    </row>
    <row r="69" customFormat="false" ht="15" hidden="false" customHeight="false" outlineLevel="0" collapsed="false">
      <c r="C69" s="41"/>
      <c r="D69" s="41"/>
      <c r="G69" s="41"/>
    </row>
    <row r="70" customFormat="false" ht="15" hidden="false" customHeight="false" outlineLevel="0" collapsed="false">
      <c r="C70" s="41"/>
      <c r="D70" s="41"/>
      <c r="G70" s="41"/>
    </row>
    <row r="71" customFormat="false" ht="15" hidden="false" customHeight="false" outlineLevel="0" collapsed="false">
      <c r="C71" s="41"/>
      <c r="D71" s="41"/>
      <c r="G71" s="41"/>
    </row>
    <row r="72" customFormat="false" ht="15" hidden="false" customHeight="false" outlineLevel="0" collapsed="false">
      <c r="C72" s="41"/>
      <c r="D72" s="41"/>
      <c r="G72" s="41"/>
    </row>
    <row r="73" customFormat="false" ht="15" hidden="false" customHeight="false" outlineLevel="0" collapsed="false">
      <c r="C73" s="41"/>
      <c r="D73" s="41"/>
      <c r="G73" s="41"/>
    </row>
    <row r="74" customFormat="false" ht="15" hidden="false" customHeight="false" outlineLevel="0" collapsed="false">
      <c r="C74" s="41"/>
      <c r="D74" s="41"/>
      <c r="G74" s="41"/>
    </row>
    <row r="75" customFormat="false" ht="15" hidden="false" customHeight="false" outlineLevel="0" collapsed="false">
      <c r="C75" s="41"/>
      <c r="D75" s="41"/>
      <c r="G75" s="41"/>
    </row>
    <row r="76" customFormat="false" ht="15" hidden="false" customHeight="false" outlineLevel="0" collapsed="false">
      <c r="C76" s="41"/>
      <c r="D76" s="41"/>
      <c r="G76" s="41"/>
    </row>
    <row r="77" customFormat="false" ht="15" hidden="false" customHeight="false" outlineLevel="0" collapsed="false">
      <c r="C77" s="41"/>
      <c r="D77" s="41"/>
      <c r="G77" s="41"/>
    </row>
    <row r="78" customFormat="false" ht="15" hidden="false" customHeight="false" outlineLevel="0" collapsed="false">
      <c r="C78" s="41"/>
      <c r="D78" s="41"/>
      <c r="G78" s="41"/>
    </row>
    <row r="79" customFormat="false" ht="15" hidden="false" customHeight="false" outlineLevel="0" collapsed="false">
      <c r="C79" s="41"/>
      <c r="D79" s="41"/>
      <c r="G79" s="41"/>
    </row>
    <row r="80" customFormat="false" ht="15" hidden="false" customHeight="false" outlineLevel="0" collapsed="false">
      <c r="C80" s="41"/>
      <c r="D80" s="41"/>
      <c r="G80" s="41"/>
    </row>
    <row r="81" customFormat="false" ht="15" hidden="false" customHeight="false" outlineLevel="0" collapsed="false">
      <c r="C81" s="41"/>
      <c r="D81" s="41"/>
      <c r="G81" s="41"/>
    </row>
    <row r="82" customFormat="false" ht="15" hidden="false" customHeight="false" outlineLevel="0" collapsed="false">
      <c r="C82" s="41"/>
      <c r="D82" s="41"/>
      <c r="G82" s="41"/>
    </row>
    <row r="83" customFormat="false" ht="15" hidden="false" customHeight="false" outlineLevel="0" collapsed="false">
      <c r="C83" s="41"/>
      <c r="D83" s="41"/>
      <c r="G83" s="41"/>
    </row>
    <row r="84" customFormat="false" ht="15" hidden="false" customHeight="false" outlineLevel="0" collapsed="false">
      <c r="C84" s="41"/>
      <c r="D84" s="41"/>
      <c r="G84" s="41"/>
    </row>
    <row r="85" customFormat="false" ht="15" hidden="false" customHeight="false" outlineLevel="0" collapsed="false">
      <c r="C85" s="41"/>
      <c r="D85" s="41"/>
      <c r="G85" s="41"/>
    </row>
    <row r="86" customFormat="false" ht="15" hidden="false" customHeight="false" outlineLevel="0" collapsed="false">
      <c r="C86" s="41"/>
      <c r="D86" s="41"/>
      <c r="G86" s="41"/>
    </row>
    <row r="87" customFormat="false" ht="15" hidden="false" customHeight="false" outlineLevel="0" collapsed="false">
      <c r="C87" s="41"/>
      <c r="D87" s="41"/>
      <c r="G87" s="41"/>
    </row>
    <row r="88" customFormat="false" ht="15" hidden="false" customHeight="false" outlineLevel="0" collapsed="false">
      <c r="C88" s="41"/>
      <c r="D88" s="41"/>
      <c r="G88" s="41"/>
    </row>
    <row r="89" customFormat="false" ht="15" hidden="false" customHeight="false" outlineLevel="0" collapsed="false">
      <c r="C89" s="41"/>
      <c r="D89" s="41"/>
      <c r="G89" s="41"/>
    </row>
    <row r="90" customFormat="false" ht="15" hidden="false" customHeight="false" outlineLevel="0" collapsed="false">
      <c r="C90" s="41"/>
      <c r="D90" s="41"/>
      <c r="G90" s="41"/>
    </row>
    <row r="91" customFormat="false" ht="15" hidden="false" customHeight="false" outlineLevel="0" collapsed="false">
      <c r="C91" s="41"/>
      <c r="D91" s="41"/>
      <c r="G91" s="41"/>
    </row>
    <row r="92" customFormat="false" ht="15" hidden="false" customHeight="false" outlineLevel="0" collapsed="false">
      <c r="C92" s="41"/>
      <c r="D92" s="41"/>
      <c r="G92" s="41"/>
    </row>
    <row r="93" customFormat="false" ht="15" hidden="false" customHeight="false" outlineLevel="0" collapsed="false">
      <c r="C93" s="41"/>
      <c r="D93" s="41"/>
      <c r="G93" s="41"/>
    </row>
    <row r="94" customFormat="false" ht="15" hidden="false" customHeight="false" outlineLevel="0" collapsed="false">
      <c r="C94" s="41"/>
      <c r="D94" s="41"/>
      <c r="G94" s="41"/>
    </row>
    <row r="95" customFormat="false" ht="15" hidden="false" customHeight="false" outlineLevel="0" collapsed="false">
      <c r="C95" s="41"/>
      <c r="D95" s="41"/>
      <c r="G95" s="41"/>
    </row>
    <row r="96" customFormat="false" ht="15" hidden="false" customHeight="false" outlineLevel="0" collapsed="false">
      <c r="C96" s="41"/>
      <c r="D96" s="41"/>
      <c r="G96" s="41"/>
    </row>
    <row r="97" customFormat="false" ht="15" hidden="false" customHeight="false" outlineLevel="0" collapsed="false">
      <c r="C97" s="41"/>
      <c r="D97" s="41"/>
      <c r="G97" s="41"/>
    </row>
    <row r="98" customFormat="false" ht="15" hidden="false" customHeight="false" outlineLevel="0" collapsed="false">
      <c r="C98" s="41"/>
      <c r="D98" s="41"/>
      <c r="G98" s="41"/>
    </row>
    <row r="99" customFormat="false" ht="15" hidden="false" customHeight="false" outlineLevel="0" collapsed="false">
      <c r="C99" s="41"/>
      <c r="D99" s="41"/>
      <c r="G99" s="41"/>
    </row>
    <row r="100" customFormat="false" ht="15" hidden="false" customHeight="false" outlineLevel="0" collapsed="false">
      <c r="C100" s="41"/>
      <c r="D100" s="41"/>
      <c r="G100" s="41"/>
    </row>
    <row r="101" customFormat="false" ht="15" hidden="false" customHeight="false" outlineLevel="0" collapsed="false">
      <c r="C101" s="41"/>
      <c r="D101" s="41"/>
      <c r="G101" s="41"/>
    </row>
    <row r="102" customFormat="false" ht="15" hidden="false" customHeight="false" outlineLevel="0" collapsed="false">
      <c r="C102" s="41"/>
      <c r="D102" s="41"/>
      <c r="G102" s="41"/>
    </row>
    <row r="103" customFormat="false" ht="15" hidden="false" customHeight="false" outlineLevel="0" collapsed="false">
      <c r="C103" s="41"/>
      <c r="D103" s="41"/>
      <c r="G103" s="41"/>
    </row>
    <row r="104" customFormat="false" ht="15" hidden="false" customHeight="false" outlineLevel="0" collapsed="false">
      <c r="C104" s="41"/>
      <c r="D104" s="41"/>
      <c r="G104" s="41"/>
    </row>
    <row r="105" customFormat="false" ht="15" hidden="false" customHeight="false" outlineLevel="0" collapsed="false">
      <c r="C105" s="41"/>
      <c r="D105" s="41"/>
      <c r="G105" s="41"/>
    </row>
    <row r="106" customFormat="false" ht="15" hidden="false" customHeight="false" outlineLevel="0" collapsed="false">
      <c r="C106" s="41"/>
      <c r="D106" s="41"/>
      <c r="G106" s="41"/>
    </row>
    <row r="107" customFormat="false" ht="15" hidden="false" customHeight="false" outlineLevel="0" collapsed="false">
      <c r="C107" s="41"/>
      <c r="D107" s="41"/>
      <c r="G107" s="41"/>
    </row>
    <row r="108" customFormat="false" ht="15" hidden="false" customHeight="false" outlineLevel="0" collapsed="false">
      <c r="C108" s="41"/>
      <c r="D108" s="41"/>
      <c r="G108" s="41"/>
    </row>
    <row r="109" customFormat="false" ht="15" hidden="false" customHeight="false" outlineLevel="0" collapsed="false">
      <c r="C109" s="41"/>
      <c r="D109" s="41"/>
      <c r="G109" s="41"/>
    </row>
    <row r="110" customFormat="false" ht="15" hidden="false" customHeight="false" outlineLevel="0" collapsed="false">
      <c r="C110" s="41"/>
      <c r="D110" s="41"/>
      <c r="G110" s="41"/>
    </row>
    <row r="111" customFormat="false" ht="15" hidden="false" customHeight="false" outlineLevel="0" collapsed="false">
      <c r="C111" s="41"/>
      <c r="D111" s="41"/>
      <c r="G111" s="41"/>
    </row>
    <row r="112" customFormat="false" ht="15" hidden="false" customHeight="false" outlineLevel="0" collapsed="false">
      <c r="C112" s="41"/>
      <c r="D112" s="41"/>
      <c r="G112" s="41"/>
    </row>
    <row r="113" customFormat="false" ht="15" hidden="false" customHeight="false" outlineLevel="0" collapsed="false">
      <c r="C113" s="41"/>
      <c r="D113" s="41"/>
      <c r="G113" s="41"/>
    </row>
    <row r="114" customFormat="false" ht="15" hidden="false" customHeight="false" outlineLevel="0" collapsed="false">
      <c r="C114" s="41"/>
      <c r="D114" s="41"/>
      <c r="G114" s="41"/>
    </row>
    <row r="115" customFormat="false" ht="15" hidden="false" customHeight="false" outlineLevel="0" collapsed="false">
      <c r="C115" s="41"/>
      <c r="D115" s="41"/>
      <c r="G115" s="41"/>
    </row>
    <row r="116" customFormat="false" ht="15" hidden="false" customHeight="false" outlineLevel="0" collapsed="false">
      <c r="C116" s="41"/>
      <c r="D116" s="41"/>
      <c r="G116" s="41"/>
    </row>
    <row r="117" customFormat="false" ht="15" hidden="false" customHeight="false" outlineLevel="0" collapsed="false">
      <c r="C117" s="41"/>
      <c r="D117" s="41"/>
      <c r="G117" s="41"/>
    </row>
    <row r="118" customFormat="false" ht="15" hidden="false" customHeight="false" outlineLevel="0" collapsed="false">
      <c r="C118" s="41"/>
      <c r="D118" s="41"/>
      <c r="G118" s="41"/>
    </row>
    <row r="119" customFormat="false" ht="15" hidden="false" customHeight="false" outlineLevel="0" collapsed="false">
      <c r="C119" s="41"/>
      <c r="D119" s="41"/>
      <c r="G119" s="41"/>
    </row>
    <row r="120" customFormat="false" ht="15" hidden="false" customHeight="false" outlineLevel="0" collapsed="false">
      <c r="C120" s="41"/>
      <c r="D120" s="41"/>
      <c r="G120" s="41"/>
    </row>
    <row r="121" customFormat="false" ht="15" hidden="false" customHeight="false" outlineLevel="0" collapsed="false">
      <c r="C121" s="41"/>
      <c r="D121" s="41"/>
      <c r="G121" s="41"/>
    </row>
    <row r="122" customFormat="false" ht="15" hidden="false" customHeight="false" outlineLevel="0" collapsed="false">
      <c r="C122" s="41"/>
      <c r="D122" s="41"/>
      <c r="G122" s="41"/>
    </row>
    <row r="123" customFormat="false" ht="15" hidden="false" customHeight="false" outlineLevel="0" collapsed="false">
      <c r="C123" s="41"/>
      <c r="D123" s="41"/>
      <c r="G123" s="41"/>
    </row>
    <row r="124" customFormat="false" ht="15" hidden="false" customHeight="false" outlineLevel="0" collapsed="false">
      <c r="C124" s="41"/>
      <c r="D124" s="41"/>
      <c r="G124" s="41"/>
    </row>
    <row r="125" customFormat="false" ht="15" hidden="false" customHeight="false" outlineLevel="0" collapsed="false">
      <c r="C125" s="41"/>
      <c r="D125" s="41"/>
      <c r="G125" s="41"/>
    </row>
    <row r="126" customFormat="false" ht="15" hidden="false" customHeight="false" outlineLevel="0" collapsed="false">
      <c r="C126" s="41"/>
      <c r="D126" s="41"/>
      <c r="G126" s="41"/>
    </row>
    <row r="127" customFormat="false" ht="15" hidden="false" customHeight="false" outlineLevel="0" collapsed="false">
      <c r="C127" s="41"/>
      <c r="D127" s="41"/>
      <c r="G127" s="41"/>
    </row>
    <row r="128" customFormat="false" ht="15" hidden="false" customHeight="false" outlineLevel="0" collapsed="false">
      <c r="C128" s="41"/>
      <c r="D128" s="41"/>
      <c r="G128" s="41"/>
    </row>
    <row r="129" customFormat="false" ht="15" hidden="false" customHeight="false" outlineLevel="0" collapsed="false">
      <c r="C129" s="41"/>
      <c r="D129" s="41"/>
      <c r="G129" s="41"/>
    </row>
    <row r="130" customFormat="false" ht="15" hidden="false" customHeight="false" outlineLevel="0" collapsed="false">
      <c r="C130" s="41"/>
      <c r="D130" s="41"/>
      <c r="G130" s="41"/>
    </row>
    <row r="131" customFormat="false" ht="15" hidden="false" customHeight="false" outlineLevel="0" collapsed="false">
      <c r="C131" s="41"/>
      <c r="D131" s="41"/>
      <c r="G131" s="41"/>
    </row>
    <row r="132" customFormat="false" ht="15" hidden="false" customHeight="false" outlineLevel="0" collapsed="false">
      <c r="C132" s="41"/>
      <c r="D132" s="41"/>
      <c r="G132" s="41"/>
    </row>
    <row r="133" customFormat="false" ht="15" hidden="false" customHeight="false" outlineLevel="0" collapsed="false">
      <c r="C133" s="41"/>
      <c r="D133" s="41"/>
      <c r="G133" s="41"/>
    </row>
    <row r="134" customFormat="false" ht="15" hidden="false" customHeight="false" outlineLevel="0" collapsed="false">
      <c r="C134" s="41"/>
      <c r="D134" s="41"/>
      <c r="G134" s="41"/>
    </row>
    <row r="135" customFormat="false" ht="15" hidden="false" customHeight="false" outlineLevel="0" collapsed="false">
      <c r="C135" s="41"/>
      <c r="D135" s="41"/>
      <c r="G135" s="41"/>
    </row>
    <row r="136" customFormat="false" ht="15" hidden="false" customHeight="false" outlineLevel="0" collapsed="false">
      <c r="C136" s="41"/>
      <c r="D136" s="41"/>
      <c r="G136" s="41"/>
    </row>
    <row r="137" customFormat="false" ht="15" hidden="false" customHeight="false" outlineLevel="0" collapsed="false">
      <c r="C137" s="41"/>
      <c r="D137" s="41"/>
      <c r="G137" s="41"/>
    </row>
    <row r="138" customFormat="false" ht="15" hidden="false" customHeight="false" outlineLevel="0" collapsed="false">
      <c r="C138" s="41"/>
      <c r="D138" s="41"/>
      <c r="G138" s="41"/>
    </row>
    <row r="139" customFormat="false" ht="15" hidden="false" customHeight="false" outlineLevel="0" collapsed="false">
      <c r="C139" s="41"/>
      <c r="D139" s="41"/>
      <c r="G139" s="41"/>
    </row>
    <row r="140" customFormat="false" ht="15" hidden="false" customHeight="false" outlineLevel="0" collapsed="false">
      <c r="C140" s="41"/>
      <c r="D140" s="41"/>
      <c r="G140" s="41"/>
    </row>
    <row r="141" customFormat="false" ht="15" hidden="false" customHeight="false" outlineLevel="0" collapsed="false">
      <c r="C141" s="41"/>
      <c r="D141" s="41"/>
      <c r="G141" s="41"/>
    </row>
    <row r="142" customFormat="false" ht="15" hidden="false" customHeight="false" outlineLevel="0" collapsed="false">
      <c r="C142" s="41"/>
      <c r="D142" s="41"/>
      <c r="G142" s="41"/>
    </row>
    <row r="143" customFormat="false" ht="15" hidden="false" customHeight="false" outlineLevel="0" collapsed="false">
      <c r="C143" s="41"/>
      <c r="D143" s="41"/>
      <c r="G143" s="41"/>
    </row>
    <row r="144" customFormat="false" ht="15" hidden="false" customHeight="false" outlineLevel="0" collapsed="false">
      <c r="C144" s="41"/>
      <c r="D144" s="41"/>
      <c r="G144" s="41"/>
    </row>
    <row r="145" customFormat="false" ht="15" hidden="false" customHeight="false" outlineLevel="0" collapsed="false">
      <c r="C145" s="41"/>
      <c r="D145" s="41"/>
      <c r="G145" s="41"/>
    </row>
    <row r="146" customFormat="false" ht="15" hidden="false" customHeight="false" outlineLevel="0" collapsed="false">
      <c r="C146" s="41"/>
      <c r="D146" s="41"/>
      <c r="G146" s="41"/>
    </row>
    <row r="147" customFormat="false" ht="15" hidden="false" customHeight="false" outlineLevel="0" collapsed="false">
      <c r="C147" s="41"/>
      <c r="D147" s="41"/>
      <c r="G147" s="41"/>
    </row>
    <row r="148" customFormat="false" ht="15" hidden="false" customHeight="false" outlineLevel="0" collapsed="false">
      <c r="C148" s="41"/>
      <c r="D148" s="41"/>
      <c r="G148" s="41"/>
    </row>
    <row r="149" customFormat="false" ht="15" hidden="false" customHeight="false" outlineLevel="0" collapsed="false">
      <c r="C149" s="41"/>
      <c r="D149" s="41"/>
      <c r="G149" s="41"/>
    </row>
    <row r="150" customFormat="false" ht="15" hidden="false" customHeight="false" outlineLevel="0" collapsed="false">
      <c r="C150" s="41"/>
      <c r="D150" s="41"/>
      <c r="G150" s="41"/>
    </row>
    <row r="151" customFormat="false" ht="15" hidden="false" customHeight="false" outlineLevel="0" collapsed="false">
      <c r="C151" s="41"/>
      <c r="D151" s="41"/>
      <c r="G151" s="41"/>
    </row>
    <row r="152" customFormat="false" ht="15" hidden="false" customHeight="false" outlineLevel="0" collapsed="false">
      <c r="C152" s="41"/>
      <c r="D152" s="41"/>
      <c r="G152" s="41"/>
    </row>
    <row r="153" customFormat="false" ht="15" hidden="false" customHeight="false" outlineLevel="0" collapsed="false">
      <c r="C153" s="41"/>
      <c r="D153" s="41"/>
      <c r="G153" s="41"/>
    </row>
    <row r="154" customFormat="false" ht="15" hidden="false" customHeight="false" outlineLevel="0" collapsed="false">
      <c r="C154" s="41"/>
      <c r="D154" s="41"/>
      <c r="G154" s="41"/>
    </row>
    <row r="155" customFormat="false" ht="15" hidden="false" customHeight="false" outlineLevel="0" collapsed="false">
      <c r="C155" s="41"/>
      <c r="D155" s="41"/>
      <c r="G155" s="41"/>
    </row>
    <row r="156" customFormat="false" ht="15" hidden="false" customHeight="false" outlineLevel="0" collapsed="false">
      <c r="C156" s="41"/>
      <c r="D156" s="41"/>
      <c r="G156" s="41"/>
    </row>
    <row r="157" customFormat="false" ht="15" hidden="false" customHeight="false" outlineLevel="0" collapsed="false">
      <c r="C157" s="41"/>
      <c r="D157" s="41"/>
      <c r="G157" s="41"/>
    </row>
    <row r="158" customFormat="false" ht="15" hidden="false" customHeight="false" outlineLevel="0" collapsed="false">
      <c r="C158" s="41"/>
      <c r="D158" s="41"/>
      <c r="G158" s="41"/>
    </row>
    <row r="159" customFormat="false" ht="15" hidden="false" customHeight="false" outlineLevel="0" collapsed="false">
      <c r="C159" s="41"/>
      <c r="D159" s="41"/>
      <c r="G159" s="41"/>
    </row>
    <row r="160" customFormat="false" ht="15" hidden="false" customHeight="false" outlineLevel="0" collapsed="false">
      <c r="C160" s="41"/>
      <c r="D160" s="41"/>
      <c r="G160" s="41"/>
    </row>
    <row r="161" customFormat="false" ht="15" hidden="false" customHeight="false" outlineLevel="0" collapsed="false">
      <c r="C161" s="41"/>
      <c r="D161" s="41"/>
      <c r="G161" s="41"/>
    </row>
    <row r="162" customFormat="false" ht="15" hidden="false" customHeight="false" outlineLevel="0" collapsed="false">
      <c r="C162" s="41"/>
      <c r="D162" s="41"/>
      <c r="G162" s="41"/>
    </row>
    <row r="163" customFormat="false" ht="15" hidden="false" customHeight="false" outlineLevel="0" collapsed="false">
      <c r="C163" s="41"/>
      <c r="D163" s="41"/>
      <c r="G163" s="41"/>
    </row>
    <row r="164" customFormat="false" ht="15" hidden="false" customHeight="false" outlineLevel="0" collapsed="false">
      <c r="C164" s="41"/>
      <c r="D164" s="41"/>
      <c r="G164" s="41"/>
    </row>
    <row r="165" customFormat="false" ht="15" hidden="false" customHeight="false" outlineLevel="0" collapsed="false">
      <c r="C165" s="41"/>
      <c r="D165" s="41"/>
      <c r="G165" s="41"/>
    </row>
    <row r="166" customFormat="false" ht="15" hidden="false" customHeight="false" outlineLevel="0" collapsed="false">
      <c r="C166" s="41"/>
      <c r="D166" s="41"/>
      <c r="G166" s="41"/>
    </row>
    <row r="167" customFormat="false" ht="15" hidden="false" customHeight="false" outlineLevel="0" collapsed="false">
      <c r="C167" s="41"/>
      <c r="D167" s="41"/>
      <c r="G167" s="41"/>
    </row>
    <row r="168" customFormat="false" ht="15" hidden="false" customHeight="false" outlineLevel="0" collapsed="false">
      <c r="C168" s="41"/>
      <c r="D168" s="41"/>
      <c r="G168" s="41"/>
    </row>
    <row r="169" customFormat="false" ht="15" hidden="false" customHeight="false" outlineLevel="0" collapsed="false">
      <c r="C169" s="41"/>
      <c r="D169" s="41"/>
      <c r="G169" s="41"/>
    </row>
    <row r="170" customFormat="false" ht="15" hidden="false" customHeight="false" outlineLevel="0" collapsed="false">
      <c r="C170" s="41"/>
      <c r="D170" s="41"/>
      <c r="G170" s="41"/>
    </row>
    <row r="171" customFormat="false" ht="15" hidden="false" customHeight="false" outlineLevel="0" collapsed="false">
      <c r="C171" s="41"/>
      <c r="D171" s="41"/>
      <c r="G171" s="41"/>
    </row>
    <row r="172" customFormat="false" ht="15" hidden="false" customHeight="false" outlineLevel="0" collapsed="false">
      <c r="C172" s="41"/>
      <c r="D172" s="41"/>
      <c r="G172" s="41"/>
    </row>
    <row r="173" customFormat="false" ht="15" hidden="false" customHeight="false" outlineLevel="0" collapsed="false">
      <c r="C173" s="41"/>
      <c r="D173" s="41"/>
      <c r="G173" s="41"/>
    </row>
    <row r="174" customFormat="false" ht="15" hidden="false" customHeight="false" outlineLevel="0" collapsed="false">
      <c r="C174" s="41"/>
      <c r="D174" s="41"/>
      <c r="G174" s="41"/>
    </row>
    <row r="175" customFormat="false" ht="15" hidden="false" customHeight="false" outlineLevel="0" collapsed="false">
      <c r="C175" s="41"/>
      <c r="D175" s="41"/>
      <c r="G175" s="41"/>
    </row>
    <row r="176" customFormat="false" ht="15" hidden="false" customHeight="false" outlineLevel="0" collapsed="false">
      <c r="C176" s="41"/>
      <c r="D176" s="41"/>
      <c r="G176" s="41"/>
    </row>
    <row r="177" customFormat="false" ht="15" hidden="false" customHeight="false" outlineLevel="0" collapsed="false">
      <c r="C177" s="41"/>
      <c r="D177" s="41"/>
      <c r="G177" s="41"/>
    </row>
    <row r="178" customFormat="false" ht="15" hidden="false" customHeight="false" outlineLevel="0" collapsed="false">
      <c r="C178" s="41"/>
      <c r="D178" s="41"/>
      <c r="G178" s="41"/>
    </row>
    <row r="179" customFormat="false" ht="15" hidden="false" customHeight="false" outlineLevel="0" collapsed="false">
      <c r="C179" s="41"/>
      <c r="D179" s="41"/>
      <c r="G179" s="41"/>
    </row>
    <row r="180" customFormat="false" ht="15" hidden="false" customHeight="false" outlineLevel="0" collapsed="false">
      <c r="C180" s="41"/>
      <c r="D180" s="41"/>
      <c r="G180" s="41"/>
    </row>
    <row r="181" customFormat="false" ht="15" hidden="false" customHeight="false" outlineLevel="0" collapsed="false">
      <c r="C181" s="41"/>
      <c r="D181" s="41"/>
      <c r="G181" s="41"/>
    </row>
    <row r="182" customFormat="false" ht="15" hidden="false" customHeight="false" outlineLevel="0" collapsed="false">
      <c r="C182" s="41"/>
      <c r="D182" s="41"/>
      <c r="G182" s="41"/>
    </row>
    <row r="183" customFormat="false" ht="15" hidden="false" customHeight="false" outlineLevel="0" collapsed="false">
      <c r="C183" s="41"/>
      <c r="D183" s="41"/>
      <c r="G183" s="41"/>
    </row>
    <row r="184" customFormat="false" ht="15" hidden="false" customHeight="false" outlineLevel="0" collapsed="false">
      <c r="C184" s="41"/>
      <c r="D184" s="41"/>
      <c r="G184" s="41"/>
    </row>
    <row r="185" customFormat="false" ht="15" hidden="false" customHeight="false" outlineLevel="0" collapsed="false">
      <c r="C185" s="41"/>
      <c r="D185" s="41"/>
      <c r="G185" s="41"/>
    </row>
    <row r="186" customFormat="false" ht="15" hidden="false" customHeight="false" outlineLevel="0" collapsed="false">
      <c r="C186" s="41"/>
      <c r="D186" s="41"/>
      <c r="G186" s="41"/>
    </row>
    <row r="187" customFormat="false" ht="15" hidden="false" customHeight="false" outlineLevel="0" collapsed="false">
      <c r="C187" s="41"/>
      <c r="D187" s="41"/>
      <c r="G187" s="41"/>
    </row>
    <row r="188" customFormat="false" ht="15" hidden="false" customHeight="false" outlineLevel="0" collapsed="false">
      <c r="C188" s="41"/>
      <c r="D188" s="41"/>
      <c r="G188" s="41"/>
    </row>
    <row r="189" customFormat="false" ht="15" hidden="false" customHeight="false" outlineLevel="0" collapsed="false">
      <c r="C189" s="41"/>
      <c r="D189" s="41"/>
      <c r="G189" s="41"/>
    </row>
    <row r="190" customFormat="false" ht="15" hidden="false" customHeight="false" outlineLevel="0" collapsed="false">
      <c r="C190" s="41"/>
      <c r="D190" s="41"/>
      <c r="G190" s="41"/>
    </row>
    <row r="191" customFormat="false" ht="15" hidden="false" customHeight="false" outlineLevel="0" collapsed="false">
      <c r="C191" s="41"/>
      <c r="D191" s="41"/>
      <c r="G191" s="41"/>
    </row>
    <row r="192" customFormat="false" ht="15" hidden="false" customHeight="false" outlineLevel="0" collapsed="false">
      <c r="C192" s="41"/>
      <c r="D192" s="41"/>
      <c r="G192" s="41"/>
    </row>
    <row r="193" customFormat="false" ht="15" hidden="false" customHeight="false" outlineLevel="0" collapsed="false">
      <c r="C193" s="41"/>
      <c r="D193" s="41"/>
      <c r="G193" s="41"/>
    </row>
    <row r="194" customFormat="false" ht="15" hidden="false" customHeight="false" outlineLevel="0" collapsed="false">
      <c r="C194" s="41"/>
      <c r="D194" s="41"/>
      <c r="G194" s="41"/>
    </row>
    <row r="195" customFormat="false" ht="15" hidden="false" customHeight="false" outlineLevel="0" collapsed="false">
      <c r="C195" s="41"/>
      <c r="D195" s="41"/>
      <c r="G195" s="41"/>
    </row>
    <row r="196" customFormat="false" ht="15" hidden="false" customHeight="false" outlineLevel="0" collapsed="false">
      <c r="C196" s="41"/>
      <c r="D196" s="41"/>
      <c r="G196" s="41"/>
    </row>
    <row r="197" customFormat="false" ht="15" hidden="false" customHeight="false" outlineLevel="0" collapsed="false">
      <c r="C197" s="41"/>
      <c r="D197" s="41"/>
      <c r="G197" s="41"/>
    </row>
    <row r="198" customFormat="false" ht="15" hidden="false" customHeight="false" outlineLevel="0" collapsed="false">
      <c r="C198" s="41"/>
      <c r="D198" s="41"/>
      <c r="G198" s="41"/>
    </row>
    <row r="199" customFormat="false" ht="15" hidden="false" customHeight="false" outlineLevel="0" collapsed="false">
      <c r="C199" s="41"/>
      <c r="D199" s="41"/>
      <c r="G199" s="41"/>
    </row>
    <row r="200" customFormat="false" ht="15" hidden="false" customHeight="false" outlineLevel="0" collapsed="false">
      <c r="C200" s="41"/>
      <c r="D200" s="41"/>
      <c r="G200" s="41"/>
    </row>
    <row r="201" customFormat="false" ht="15" hidden="false" customHeight="false" outlineLevel="0" collapsed="false">
      <c r="C201" s="41"/>
      <c r="D201" s="41"/>
      <c r="G201" s="41"/>
    </row>
    <row r="202" customFormat="false" ht="15" hidden="false" customHeight="false" outlineLevel="0" collapsed="false">
      <c r="C202" s="41"/>
      <c r="D202" s="41"/>
      <c r="G202" s="41"/>
    </row>
    <row r="203" customFormat="false" ht="15" hidden="false" customHeight="false" outlineLevel="0" collapsed="false">
      <c r="C203" s="41"/>
      <c r="D203" s="41"/>
      <c r="G203" s="41"/>
    </row>
    <row r="204" customFormat="false" ht="15" hidden="false" customHeight="false" outlineLevel="0" collapsed="false">
      <c r="C204" s="41"/>
      <c r="D204" s="41"/>
      <c r="G204" s="41"/>
    </row>
    <row r="205" customFormat="false" ht="15" hidden="false" customHeight="false" outlineLevel="0" collapsed="false">
      <c r="C205" s="41"/>
      <c r="D205" s="41"/>
      <c r="G205" s="41"/>
    </row>
    <row r="206" customFormat="false" ht="15" hidden="false" customHeight="false" outlineLevel="0" collapsed="false">
      <c r="C206" s="41"/>
      <c r="D206" s="41"/>
      <c r="G206" s="41"/>
    </row>
    <row r="207" customFormat="false" ht="15" hidden="false" customHeight="false" outlineLevel="0" collapsed="false">
      <c r="C207" s="41"/>
      <c r="D207" s="41"/>
      <c r="G207" s="41"/>
    </row>
    <row r="208" customFormat="false" ht="15" hidden="false" customHeight="false" outlineLevel="0" collapsed="false">
      <c r="C208" s="41"/>
      <c r="D208" s="41"/>
      <c r="G208" s="41"/>
    </row>
    <row r="209" customFormat="false" ht="15" hidden="false" customHeight="false" outlineLevel="0" collapsed="false">
      <c r="C209" s="41"/>
      <c r="D209" s="41"/>
      <c r="G209" s="41"/>
    </row>
    <row r="210" customFormat="false" ht="15" hidden="false" customHeight="false" outlineLevel="0" collapsed="false">
      <c r="C210" s="41"/>
      <c r="D210" s="41"/>
      <c r="G210" s="41"/>
    </row>
    <row r="211" customFormat="false" ht="15" hidden="false" customHeight="false" outlineLevel="0" collapsed="false">
      <c r="C211" s="41"/>
      <c r="D211" s="41"/>
      <c r="G211" s="41"/>
    </row>
    <row r="212" customFormat="false" ht="15" hidden="false" customHeight="false" outlineLevel="0" collapsed="false">
      <c r="C212" s="41"/>
      <c r="D212" s="41"/>
      <c r="G212" s="41"/>
    </row>
    <row r="213" customFormat="false" ht="15" hidden="false" customHeight="false" outlineLevel="0" collapsed="false">
      <c r="C213" s="41"/>
      <c r="D213" s="41"/>
      <c r="G213" s="41"/>
    </row>
    <row r="214" customFormat="false" ht="15" hidden="false" customHeight="false" outlineLevel="0" collapsed="false">
      <c r="C214" s="41"/>
      <c r="D214" s="41"/>
      <c r="G214" s="41"/>
    </row>
    <row r="215" customFormat="false" ht="15" hidden="false" customHeight="false" outlineLevel="0" collapsed="false">
      <c r="C215" s="41"/>
      <c r="D215" s="41"/>
      <c r="G215" s="41"/>
    </row>
    <row r="216" customFormat="false" ht="15" hidden="false" customHeight="false" outlineLevel="0" collapsed="false">
      <c r="C216" s="41"/>
      <c r="D216" s="41"/>
      <c r="G216" s="41"/>
    </row>
    <row r="217" customFormat="false" ht="15" hidden="false" customHeight="false" outlineLevel="0" collapsed="false">
      <c r="C217" s="41"/>
      <c r="D217" s="41"/>
      <c r="G217" s="41"/>
    </row>
    <row r="218" customFormat="false" ht="15" hidden="false" customHeight="false" outlineLevel="0" collapsed="false">
      <c r="C218" s="41"/>
      <c r="D218" s="41"/>
      <c r="G218" s="41"/>
    </row>
    <row r="219" customFormat="false" ht="15" hidden="false" customHeight="false" outlineLevel="0" collapsed="false">
      <c r="C219" s="41"/>
      <c r="D219" s="41"/>
      <c r="G219" s="41"/>
    </row>
    <row r="220" customFormat="false" ht="15" hidden="false" customHeight="false" outlineLevel="0" collapsed="false">
      <c r="C220" s="41"/>
      <c r="D220" s="41"/>
      <c r="G220" s="41"/>
    </row>
    <row r="221" customFormat="false" ht="15" hidden="false" customHeight="false" outlineLevel="0" collapsed="false">
      <c r="C221" s="41"/>
      <c r="D221" s="41"/>
      <c r="G221" s="41"/>
    </row>
    <row r="222" customFormat="false" ht="15" hidden="false" customHeight="false" outlineLevel="0" collapsed="false">
      <c r="C222" s="41"/>
      <c r="D222" s="41"/>
      <c r="G222" s="41"/>
    </row>
    <row r="223" customFormat="false" ht="15" hidden="false" customHeight="false" outlineLevel="0" collapsed="false">
      <c r="C223" s="41"/>
      <c r="D223" s="41"/>
      <c r="G223" s="41"/>
    </row>
    <row r="224" customFormat="false" ht="15" hidden="false" customHeight="false" outlineLevel="0" collapsed="false">
      <c r="C224" s="41"/>
      <c r="D224" s="41"/>
      <c r="G224" s="41"/>
    </row>
    <row r="225" customFormat="false" ht="15" hidden="false" customHeight="false" outlineLevel="0" collapsed="false">
      <c r="C225" s="41"/>
      <c r="D225" s="41"/>
      <c r="G225" s="41"/>
    </row>
    <row r="226" customFormat="false" ht="15" hidden="false" customHeight="false" outlineLevel="0" collapsed="false">
      <c r="C226" s="41"/>
      <c r="D226" s="41"/>
      <c r="G226" s="41"/>
    </row>
    <row r="227" customFormat="false" ht="15" hidden="false" customHeight="false" outlineLevel="0" collapsed="false">
      <c r="C227" s="41"/>
      <c r="D227" s="41"/>
      <c r="G227" s="41"/>
    </row>
    <row r="228" customFormat="false" ht="15" hidden="false" customHeight="false" outlineLevel="0" collapsed="false">
      <c r="C228" s="41"/>
      <c r="D228" s="41"/>
      <c r="G228" s="41"/>
    </row>
    <row r="229" customFormat="false" ht="15" hidden="false" customHeight="false" outlineLevel="0" collapsed="false">
      <c r="C229" s="41"/>
      <c r="D229" s="41"/>
      <c r="G229" s="41"/>
    </row>
    <row r="230" customFormat="false" ht="15" hidden="false" customHeight="false" outlineLevel="0" collapsed="false">
      <c r="C230" s="41"/>
      <c r="D230" s="41"/>
      <c r="G230" s="41"/>
    </row>
    <row r="231" customFormat="false" ht="15" hidden="false" customHeight="false" outlineLevel="0" collapsed="false">
      <c r="C231" s="41"/>
      <c r="D231" s="41"/>
      <c r="G231" s="41"/>
    </row>
    <row r="232" customFormat="false" ht="15" hidden="false" customHeight="false" outlineLevel="0" collapsed="false">
      <c r="C232" s="41"/>
      <c r="D232" s="41"/>
      <c r="G232" s="41"/>
    </row>
    <row r="233" customFormat="false" ht="15" hidden="false" customHeight="false" outlineLevel="0" collapsed="false">
      <c r="C233" s="41"/>
      <c r="D233" s="41"/>
      <c r="G233" s="41"/>
    </row>
    <row r="234" customFormat="false" ht="15" hidden="false" customHeight="false" outlineLevel="0" collapsed="false">
      <c r="C234" s="41"/>
      <c r="D234" s="41"/>
      <c r="G234" s="41"/>
    </row>
    <row r="235" customFormat="false" ht="15" hidden="false" customHeight="false" outlineLevel="0" collapsed="false">
      <c r="C235" s="41"/>
      <c r="D235" s="41"/>
      <c r="G235" s="41"/>
    </row>
    <row r="236" customFormat="false" ht="15" hidden="false" customHeight="false" outlineLevel="0" collapsed="false">
      <c r="C236" s="41"/>
      <c r="D236" s="41"/>
      <c r="G236" s="41"/>
    </row>
    <row r="237" customFormat="false" ht="15" hidden="false" customHeight="false" outlineLevel="0" collapsed="false">
      <c r="C237" s="41"/>
      <c r="D237" s="41"/>
      <c r="G237" s="41"/>
    </row>
    <row r="238" customFormat="false" ht="15" hidden="false" customHeight="false" outlineLevel="0" collapsed="false">
      <c r="C238" s="41"/>
      <c r="D238" s="41"/>
      <c r="G238" s="41"/>
    </row>
    <row r="239" customFormat="false" ht="15" hidden="false" customHeight="false" outlineLevel="0" collapsed="false">
      <c r="C239" s="41"/>
      <c r="D239" s="41"/>
      <c r="G239" s="41"/>
    </row>
    <row r="240" customFormat="false" ht="15" hidden="false" customHeight="false" outlineLevel="0" collapsed="false">
      <c r="C240" s="41"/>
      <c r="D240" s="41"/>
      <c r="G240" s="41"/>
    </row>
    <row r="241" customFormat="false" ht="15" hidden="false" customHeight="false" outlineLevel="0" collapsed="false">
      <c r="C241" s="41"/>
      <c r="D241" s="41"/>
      <c r="G241" s="41"/>
    </row>
    <row r="242" customFormat="false" ht="15" hidden="false" customHeight="false" outlineLevel="0" collapsed="false">
      <c r="C242" s="41"/>
      <c r="D242" s="41"/>
      <c r="G242" s="41"/>
    </row>
    <row r="243" customFormat="false" ht="15" hidden="false" customHeight="false" outlineLevel="0" collapsed="false">
      <c r="C243" s="41"/>
      <c r="D243" s="41"/>
      <c r="G243" s="41"/>
    </row>
    <row r="244" customFormat="false" ht="15" hidden="false" customHeight="false" outlineLevel="0" collapsed="false">
      <c r="C244" s="41"/>
      <c r="D244" s="41"/>
      <c r="G244" s="41"/>
    </row>
    <row r="245" customFormat="false" ht="15" hidden="false" customHeight="false" outlineLevel="0" collapsed="false">
      <c r="C245" s="41"/>
      <c r="D245" s="41"/>
      <c r="G245" s="41"/>
    </row>
    <row r="246" customFormat="false" ht="15" hidden="false" customHeight="false" outlineLevel="0" collapsed="false">
      <c r="C246" s="41"/>
      <c r="D246" s="41"/>
      <c r="G246" s="41"/>
    </row>
    <row r="247" customFormat="false" ht="15" hidden="false" customHeight="false" outlineLevel="0" collapsed="false">
      <c r="C247" s="41"/>
      <c r="D247" s="41"/>
      <c r="G247" s="41"/>
    </row>
    <row r="248" customFormat="false" ht="15" hidden="false" customHeight="false" outlineLevel="0" collapsed="false">
      <c r="C248" s="41"/>
      <c r="D248" s="41"/>
      <c r="G248" s="41"/>
    </row>
    <row r="249" customFormat="false" ht="15" hidden="false" customHeight="false" outlineLevel="0" collapsed="false">
      <c r="C249" s="41"/>
      <c r="D249" s="41"/>
      <c r="G249" s="41"/>
    </row>
    <row r="250" customFormat="false" ht="15" hidden="false" customHeight="false" outlineLevel="0" collapsed="false">
      <c r="C250" s="41"/>
      <c r="D250" s="41"/>
      <c r="G250" s="41"/>
    </row>
    <row r="251" customFormat="false" ht="15" hidden="false" customHeight="false" outlineLevel="0" collapsed="false">
      <c r="C251" s="41"/>
      <c r="D251" s="41"/>
      <c r="G251" s="41"/>
    </row>
    <row r="252" customFormat="false" ht="15" hidden="false" customHeight="false" outlineLevel="0" collapsed="false">
      <c r="C252" s="41"/>
      <c r="D252" s="41"/>
      <c r="G252" s="41"/>
    </row>
    <row r="253" customFormat="false" ht="15" hidden="false" customHeight="false" outlineLevel="0" collapsed="false">
      <c r="C253" s="41"/>
      <c r="D253" s="41"/>
      <c r="G253" s="41"/>
    </row>
    <row r="254" customFormat="false" ht="15" hidden="false" customHeight="false" outlineLevel="0" collapsed="false">
      <c r="C254" s="41"/>
      <c r="D254" s="41"/>
      <c r="G254" s="41"/>
    </row>
    <row r="255" customFormat="false" ht="15" hidden="false" customHeight="false" outlineLevel="0" collapsed="false">
      <c r="C255" s="41"/>
      <c r="D255" s="41"/>
      <c r="G255" s="41"/>
    </row>
    <row r="256" customFormat="false" ht="15" hidden="false" customHeight="false" outlineLevel="0" collapsed="false">
      <c r="C256" s="41"/>
      <c r="D256" s="41"/>
      <c r="G256" s="41"/>
    </row>
    <row r="257" customFormat="false" ht="15" hidden="false" customHeight="false" outlineLevel="0" collapsed="false">
      <c r="C257" s="41"/>
      <c r="D257" s="41"/>
      <c r="G257" s="41"/>
    </row>
    <row r="258" customFormat="false" ht="15" hidden="false" customHeight="false" outlineLevel="0" collapsed="false">
      <c r="C258" s="41"/>
      <c r="D258" s="41"/>
      <c r="G258" s="41"/>
    </row>
    <row r="259" customFormat="false" ht="15" hidden="false" customHeight="false" outlineLevel="0" collapsed="false">
      <c r="C259" s="41"/>
      <c r="D259" s="41"/>
      <c r="G259" s="41"/>
    </row>
    <row r="260" customFormat="false" ht="15" hidden="false" customHeight="false" outlineLevel="0" collapsed="false">
      <c r="C260" s="41"/>
      <c r="D260" s="41"/>
      <c r="G260" s="41"/>
    </row>
    <row r="261" customFormat="false" ht="15" hidden="false" customHeight="false" outlineLevel="0" collapsed="false">
      <c r="C261" s="41"/>
      <c r="D261" s="41"/>
      <c r="G261" s="41"/>
    </row>
    <row r="262" customFormat="false" ht="15" hidden="false" customHeight="false" outlineLevel="0" collapsed="false">
      <c r="C262" s="41"/>
      <c r="D262" s="41"/>
      <c r="G262" s="41"/>
    </row>
    <row r="263" customFormat="false" ht="15" hidden="false" customHeight="false" outlineLevel="0" collapsed="false">
      <c r="C263" s="41"/>
      <c r="D263" s="41"/>
      <c r="G263" s="41"/>
    </row>
    <row r="264" customFormat="false" ht="15" hidden="false" customHeight="false" outlineLevel="0" collapsed="false">
      <c r="C264" s="41"/>
      <c r="D264" s="41"/>
      <c r="G264" s="41"/>
    </row>
    <row r="265" customFormat="false" ht="15" hidden="false" customHeight="false" outlineLevel="0" collapsed="false">
      <c r="C265" s="41"/>
      <c r="D265" s="41"/>
      <c r="G265" s="41"/>
    </row>
    <row r="266" customFormat="false" ht="15" hidden="false" customHeight="false" outlineLevel="0" collapsed="false">
      <c r="C266" s="41"/>
      <c r="D266" s="41"/>
      <c r="G266" s="41"/>
    </row>
    <row r="267" customFormat="false" ht="15" hidden="false" customHeight="false" outlineLevel="0" collapsed="false">
      <c r="C267" s="41"/>
      <c r="D267" s="41"/>
      <c r="G267" s="41"/>
    </row>
    <row r="268" customFormat="false" ht="15" hidden="false" customHeight="false" outlineLevel="0" collapsed="false">
      <c r="C268" s="41"/>
      <c r="D268" s="41"/>
      <c r="G268" s="41"/>
    </row>
    <row r="269" customFormat="false" ht="15" hidden="false" customHeight="false" outlineLevel="0" collapsed="false">
      <c r="C269" s="41"/>
      <c r="D269" s="41"/>
      <c r="G269" s="41"/>
    </row>
    <row r="270" customFormat="false" ht="15" hidden="false" customHeight="false" outlineLevel="0" collapsed="false">
      <c r="C270" s="41"/>
      <c r="D270" s="41"/>
      <c r="G270" s="41"/>
    </row>
    <row r="271" customFormat="false" ht="15" hidden="false" customHeight="false" outlineLevel="0" collapsed="false">
      <c r="C271" s="41"/>
      <c r="D271" s="41"/>
      <c r="G271" s="41"/>
    </row>
    <row r="272" customFormat="false" ht="15" hidden="false" customHeight="false" outlineLevel="0" collapsed="false">
      <c r="C272" s="41"/>
      <c r="D272" s="41"/>
      <c r="G272" s="41"/>
    </row>
    <row r="273" customFormat="false" ht="15" hidden="false" customHeight="false" outlineLevel="0" collapsed="false">
      <c r="C273" s="41"/>
      <c r="D273" s="41"/>
      <c r="G273" s="41"/>
    </row>
    <row r="274" customFormat="false" ht="15" hidden="false" customHeight="false" outlineLevel="0" collapsed="false">
      <c r="C274" s="41"/>
      <c r="D274" s="41"/>
      <c r="G274" s="41"/>
    </row>
    <row r="275" customFormat="false" ht="15" hidden="false" customHeight="false" outlineLevel="0" collapsed="false">
      <c r="C275" s="41"/>
      <c r="D275" s="41"/>
      <c r="G275" s="41"/>
    </row>
    <row r="276" customFormat="false" ht="15" hidden="false" customHeight="false" outlineLevel="0" collapsed="false">
      <c r="C276" s="41"/>
      <c r="D276" s="41"/>
      <c r="G276" s="41"/>
    </row>
    <row r="277" customFormat="false" ht="15" hidden="false" customHeight="false" outlineLevel="0" collapsed="false">
      <c r="C277" s="41"/>
      <c r="D277" s="41"/>
      <c r="G277" s="41"/>
    </row>
    <row r="278" customFormat="false" ht="15" hidden="false" customHeight="false" outlineLevel="0" collapsed="false">
      <c r="C278" s="41"/>
      <c r="D278" s="41"/>
      <c r="G278" s="41"/>
    </row>
    <row r="279" customFormat="false" ht="15" hidden="false" customHeight="false" outlineLevel="0" collapsed="false">
      <c r="C279" s="41"/>
      <c r="D279" s="41"/>
      <c r="G279" s="41"/>
    </row>
    <row r="280" customFormat="false" ht="15" hidden="false" customHeight="false" outlineLevel="0" collapsed="false">
      <c r="C280" s="41"/>
      <c r="D280" s="41"/>
      <c r="G280" s="41"/>
    </row>
    <row r="281" customFormat="false" ht="15" hidden="false" customHeight="false" outlineLevel="0" collapsed="false">
      <c r="C281" s="41"/>
      <c r="D281" s="41"/>
      <c r="G281" s="41"/>
    </row>
    <row r="282" customFormat="false" ht="15" hidden="false" customHeight="false" outlineLevel="0" collapsed="false">
      <c r="C282" s="41"/>
      <c r="D282" s="41"/>
      <c r="G282" s="41"/>
    </row>
    <row r="283" customFormat="false" ht="15" hidden="false" customHeight="false" outlineLevel="0" collapsed="false">
      <c r="C283" s="41"/>
      <c r="D283" s="41"/>
      <c r="G283" s="41"/>
    </row>
    <row r="284" customFormat="false" ht="15" hidden="false" customHeight="false" outlineLevel="0" collapsed="false">
      <c r="C284" s="41"/>
      <c r="D284" s="41"/>
      <c r="G284" s="41"/>
    </row>
    <row r="285" customFormat="false" ht="15" hidden="false" customHeight="false" outlineLevel="0" collapsed="false">
      <c r="C285" s="41"/>
      <c r="D285" s="41"/>
      <c r="G285" s="41"/>
    </row>
    <row r="286" customFormat="false" ht="15" hidden="false" customHeight="false" outlineLevel="0" collapsed="false">
      <c r="C286" s="41"/>
      <c r="D286" s="41"/>
      <c r="G286" s="41"/>
    </row>
    <row r="287" customFormat="false" ht="15" hidden="false" customHeight="false" outlineLevel="0" collapsed="false">
      <c r="C287" s="41"/>
      <c r="D287" s="41"/>
      <c r="G287" s="41"/>
    </row>
    <row r="288" customFormat="false" ht="15" hidden="false" customHeight="false" outlineLevel="0" collapsed="false">
      <c r="C288" s="41"/>
      <c r="D288" s="41"/>
      <c r="G288" s="41"/>
    </row>
    <row r="289" customFormat="false" ht="15" hidden="false" customHeight="false" outlineLevel="0" collapsed="false">
      <c r="C289" s="41"/>
      <c r="D289" s="41"/>
      <c r="G289" s="41"/>
    </row>
    <row r="290" customFormat="false" ht="15" hidden="false" customHeight="false" outlineLevel="0" collapsed="false">
      <c r="C290" s="41"/>
      <c r="D290" s="41"/>
      <c r="G290" s="41"/>
    </row>
    <row r="291" customFormat="false" ht="15" hidden="false" customHeight="false" outlineLevel="0" collapsed="false">
      <c r="C291" s="41"/>
      <c r="D291" s="41"/>
      <c r="G291" s="41"/>
    </row>
    <row r="292" customFormat="false" ht="15" hidden="false" customHeight="false" outlineLevel="0" collapsed="false">
      <c r="C292" s="41"/>
      <c r="D292" s="41"/>
      <c r="G292" s="41"/>
    </row>
    <row r="293" customFormat="false" ht="15" hidden="false" customHeight="false" outlineLevel="0" collapsed="false">
      <c r="C293" s="41"/>
      <c r="D293" s="41"/>
      <c r="G293" s="41"/>
    </row>
    <row r="294" customFormat="false" ht="15" hidden="false" customHeight="false" outlineLevel="0" collapsed="false">
      <c r="C294" s="41"/>
      <c r="D294" s="41"/>
      <c r="G294" s="41"/>
    </row>
    <row r="295" customFormat="false" ht="15" hidden="false" customHeight="false" outlineLevel="0" collapsed="false">
      <c r="C295" s="41"/>
      <c r="D295" s="41"/>
      <c r="G295" s="41"/>
    </row>
    <row r="296" customFormat="false" ht="15" hidden="false" customHeight="false" outlineLevel="0" collapsed="false">
      <c r="C296" s="41"/>
      <c r="D296" s="41"/>
      <c r="G296" s="41"/>
    </row>
    <row r="297" customFormat="false" ht="15" hidden="false" customHeight="false" outlineLevel="0" collapsed="false">
      <c r="C297" s="41"/>
      <c r="D297" s="41"/>
      <c r="G297" s="41"/>
    </row>
    <row r="298" customFormat="false" ht="15" hidden="false" customHeight="false" outlineLevel="0" collapsed="false">
      <c r="C298" s="41"/>
      <c r="D298" s="41"/>
      <c r="G298" s="41"/>
    </row>
    <row r="299" customFormat="false" ht="15" hidden="false" customHeight="false" outlineLevel="0" collapsed="false">
      <c r="C299" s="41"/>
      <c r="D299" s="41"/>
      <c r="G299" s="41"/>
    </row>
    <row r="300" customFormat="false" ht="15" hidden="false" customHeight="false" outlineLevel="0" collapsed="false">
      <c r="C300" s="41"/>
      <c r="D300" s="41"/>
      <c r="G300" s="41"/>
    </row>
    <row r="301" customFormat="false" ht="15" hidden="false" customHeight="false" outlineLevel="0" collapsed="false">
      <c r="C301" s="41"/>
      <c r="D301" s="41"/>
      <c r="G301" s="41"/>
    </row>
    <row r="302" customFormat="false" ht="15" hidden="false" customHeight="false" outlineLevel="0" collapsed="false">
      <c r="C302" s="41"/>
      <c r="D302" s="41"/>
      <c r="G302" s="41"/>
    </row>
    <row r="303" customFormat="false" ht="15" hidden="false" customHeight="false" outlineLevel="0" collapsed="false">
      <c r="C303" s="41"/>
      <c r="D303" s="41"/>
      <c r="G303" s="41"/>
    </row>
    <row r="304" customFormat="false" ht="15" hidden="false" customHeight="false" outlineLevel="0" collapsed="false">
      <c r="C304" s="41"/>
      <c r="D304" s="41"/>
      <c r="G304" s="41"/>
    </row>
    <row r="305" customFormat="false" ht="15" hidden="false" customHeight="false" outlineLevel="0" collapsed="false">
      <c r="C305" s="41"/>
      <c r="D305" s="41"/>
      <c r="G305" s="41"/>
    </row>
    <row r="306" customFormat="false" ht="15" hidden="false" customHeight="false" outlineLevel="0" collapsed="false">
      <c r="C306" s="41"/>
      <c r="D306" s="41"/>
      <c r="G306" s="41"/>
    </row>
    <row r="307" customFormat="false" ht="15" hidden="false" customHeight="false" outlineLevel="0" collapsed="false">
      <c r="C307" s="41"/>
      <c r="D307" s="41"/>
      <c r="G307" s="41"/>
    </row>
    <row r="308" customFormat="false" ht="15" hidden="false" customHeight="false" outlineLevel="0" collapsed="false">
      <c r="C308" s="41"/>
      <c r="D308" s="41"/>
      <c r="G308" s="41"/>
    </row>
    <row r="309" customFormat="false" ht="15" hidden="false" customHeight="false" outlineLevel="0" collapsed="false">
      <c r="C309" s="41"/>
      <c r="D309" s="41"/>
      <c r="G309" s="41"/>
    </row>
    <row r="310" customFormat="false" ht="15" hidden="false" customHeight="false" outlineLevel="0" collapsed="false">
      <c r="C310" s="41"/>
      <c r="D310" s="41"/>
      <c r="G310" s="41"/>
    </row>
    <row r="311" customFormat="false" ht="15" hidden="false" customHeight="false" outlineLevel="0" collapsed="false">
      <c r="C311" s="41"/>
      <c r="D311" s="41"/>
      <c r="G311" s="41"/>
    </row>
    <row r="312" customFormat="false" ht="15" hidden="false" customHeight="false" outlineLevel="0" collapsed="false">
      <c r="C312" s="41"/>
      <c r="D312" s="41"/>
      <c r="G312" s="41"/>
    </row>
    <row r="313" customFormat="false" ht="15" hidden="false" customHeight="false" outlineLevel="0" collapsed="false">
      <c r="C313" s="41"/>
      <c r="D313" s="41"/>
      <c r="G313" s="41"/>
    </row>
    <row r="314" customFormat="false" ht="15" hidden="false" customHeight="false" outlineLevel="0" collapsed="false">
      <c r="C314" s="41"/>
      <c r="D314" s="41"/>
      <c r="G314" s="41"/>
    </row>
    <row r="315" customFormat="false" ht="15" hidden="false" customHeight="false" outlineLevel="0" collapsed="false">
      <c r="C315" s="41"/>
      <c r="D315" s="41"/>
      <c r="G315" s="41"/>
    </row>
    <row r="316" customFormat="false" ht="15" hidden="false" customHeight="false" outlineLevel="0" collapsed="false">
      <c r="C316" s="41"/>
      <c r="D316" s="41"/>
      <c r="G316" s="41"/>
    </row>
    <row r="317" customFormat="false" ht="15" hidden="false" customHeight="false" outlineLevel="0" collapsed="false">
      <c r="C317" s="41"/>
      <c r="D317" s="41"/>
      <c r="G317" s="41"/>
    </row>
    <row r="318" customFormat="false" ht="15" hidden="false" customHeight="false" outlineLevel="0" collapsed="false">
      <c r="C318" s="41"/>
      <c r="D318" s="41"/>
      <c r="G318" s="41"/>
    </row>
    <row r="319" customFormat="false" ht="15" hidden="false" customHeight="false" outlineLevel="0" collapsed="false">
      <c r="C319" s="41"/>
      <c r="D319" s="41"/>
      <c r="G319" s="41"/>
    </row>
    <row r="320" customFormat="false" ht="15" hidden="false" customHeight="false" outlineLevel="0" collapsed="false">
      <c r="C320" s="41"/>
      <c r="D320" s="41"/>
      <c r="G320" s="41"/>
    </row>
    <row r="321" customFormat="false" ht="15" hidden="false" customHeight="false" outlineLevel="0" collapsed="false">
      <c r="C321" s="41"/>
      <c r="D321" s="41"/>
      <c r="G321" s="41"/>
    </row>
    <row r="322" customFormat="false" ht="15" hidden="false" customHeight="false" outlineLevel="0" collapsed="false">
      <c r="C322" s="41"/>
      <c r="D322" s="41"/>
      <c r="G322" s="41"/>
    </row>
    <row r="323" customFormat="false" ht="15" hidden="false" customHeight="false" outlineLevel="0" collapsed="false">
      <c r="C323" s="41"/>
      <c r="D323" s="41"/>
      <c r="G323" s="41"/>
    </row>
    <row r="324" customFormat="false" ht="15" hidden="false" customHeight="false" outlineLevel="0" collapsed="false">
      <c r="C324" s="41"/>
      <c r="D324" s="41"/>
      <c r="G324" s="41"/>
    </row>
    <row r="325" customFormat="false" ht="15" hidden="false" customHeight="false" outlineLevel="0" collapsed="false">
      <c r="C325" s="41"/>
      <c r="D325" s="41"/>
      <c r="G325" s="41"/>
    </row>
    <row r="326" customFormat="false" ht="15" hidden="false" customHeight="false" outlineLevel="0" collapsed="false">
      <c r="C326" s="41"/>
      <c r="D326" s="41"/>
      <c r="G326" s="41"/>
    </row>
    <row r="327" customFormat="false" ht="15" hidden="false" customHeight="false" outlineLevel="0" collapsed="false">
      <c r="C327" s="41"/>
      <c r="D327" s="41"/>
      <c r="G327" s="41"/>
    </row>
    <row r="328" customFormat="false" ht="15" hidden="false" customHeight="false" outlineLevel="0" collapsed="false">
      <c r="C328" s="41"/>
      <c r="D328" s="41"/>
      <c r="G328" s="41"/>
    </row>
    <row r="329" customFormat="false" ht="15" hidden="false" customHeight="false" outlineLevel="0" collapsed="false">
      <c r="C329" s="41"/>
      <c r="D329" s="41"/>
      <c r="G329" s="41"/>
    </row>
    <row r="330" customFormat="false" ht="15" hidden="false" customHeight="false" outlineLevel="0" collapsed="false">
      <c r="C330" s="41"/>
      <c r="D330" s="41"/>
      <c r="G330" s="41"/>
    </row>
    <row r="331" customFormat="false" ht="15" hidden="false" customHeight="false" outlineLevel="0" collapsed="false">
      <c r="C331" s="41"/>
      <c r="D331" s="41"/>
      <c r="G331" s="41"/>
    </row>
    <row r="332" customFormat="false" ht="15" hidden="false" customHeight="false" outlineLevel="0" collapsed="false">
      <c r="C332" s="41"/>
      <c r="D332" s="41"/>
      <c r="G332" s="41"/>
    </row>
    <row r="333" customFormat="false" ht="15" hidden="false" customHeight="false" outlineLevel="0" collapsed="false">
      <c r="C333" s="41"/>
      <c r="D333" s="41"/>
      <c r="G333" s="41"/>
    </row>
    <row r="334" customFormat="false" ht="15" hidden="false" customHeight="false" outlineLevel="0" collapsed="false">
      <c r="C334" s="41"/>
      <c r="D334" s="41"/>
      <c r="G334" s="41"/>
    </row>
    <row r="335" customFormat="false" ht="15" hidden="false" customHeight="false" outlineLevel="0" collapsed="false">
      <c r="C335" s="41"/>
      <c r="D335" s="41"/>
      <c r="G335" s="41"/>
    </row>
    <row r="336" customFormat="false" ht="15" hidden="false" customHeight="false" outlineLevel="0" collapsed="false">
      <c r="C336" s="41"/>
      <c r="D336" s="41"/>
      <c r="G336" s="41"/>
    </row>
    <row r="337" customFormat="false" ht="15" hidden="false" customHeight="false" outlineLevel="0" collapsed="false">
      <c r="C337" s="41"/>
      <c r="D337" s="41"/>
      <c r="G337" s="41"/>
    </row>
    <row r="338" customFormat="false" ht="15" hidden="false" customHeight="false" outlineLevel="0" collapsed="false">
      <c r="C338" s="41"/>
      <c r="D338" s="41"/>
      <c r="G338" s="41"/>
    </row>
    <row r="339" customFormat="false" ht="15" hidden="false" customHeight="false" outlineLevel="0" collapsed="false">
      <c r="C339" s="41"/>
      <c r="D339" s="41"/>
      <c r="G339" s="41"/>
    </row>
    <row r="340" customFormat="false" ht="15" hidden="false" customHeight="false" outlineLevel="0" collapsed="false">
      <c r="C340" s="41"/>
      <c r="D340" s="41"/>
      <c r="G340" s="41"/>
    </row>
    <row r="341" customFormat="false" ht="15" hidden="false" customHeight="false" outlineLevel="0" collapsed="false">
      <c r="C341" s="41"/>
      <c r="D341" s="41"/>
      <c r="G341" s="41"/>
    </row>
    <row r="342" customFormat="false" ht="15" hidden="false" customHeight="false" outlineLevel="0" collapsed="false">
      <c r="C342" s="41"/>
      <c r="D342" s="41"/>
      <c r="G342" s="41"/>
    </row>
    <row r="343" customFormat="false" ht="15" hidden="false" customHeight="false" outlineLevel="0" collapsed="false">
      <c r="C343" s="41"/>
      <c r="D343" s="41"/>
      <c r="G343" s="41"/>
    </row>
    <row r="344" customFormat="false" ht="15" hidden="false" customHeight="false" outlineLevel="0" collapsed="false">
      <c r="C344" s="41"/>
      <c r="D344" s="41"/>
      <c r="G344" s="41"/>
    </row>
    <row r="345" customFormat="false" ht="15" hidden="false" customHeight="false" outlineLevel="0" collapsed="false">
      <c r="C345" s="41"/>
      <c r="D345" s="41"/>
      <c r="G345" s="41"/>
    </row>
    <row r="346" customFormat="false" ht="15" hidden="false" customHeight="false" outlineLevel="0" collapsed="false">
      <c r="C346" s="41"/>
      <c r="D346" s="41"/>
      <c r="G346" s="41"/>
    </row>
    <row r="347" customFormat="false" ht="15" hidden="false" customHeight="false" outlineLevel="0" collapsed="false">
      <c r="C347" s="41"/>
      <c r="D347" s="41"/>
      <c r="G347" s="41"/>
    </row>
    <row r="348" customFormat="false" ht="15" hidden="false" customHeight="false" outlineLevel="0" collapsed="false">
      <c r="C348" s="41"/>
      <c r="D348" s="41"/>
      <c r="G348" s="41"/>
    </row>
    <row r="349" customFormat="false" ht="15" hidden="false" customHeight="false" outlineLevel="0" collapsed="false">
      <c r="C349" s="41"/>
      <c r="D349" s="41"/>
      <c r="G349" s="41"/>
    </row>
    <row r="350" customFormat="false" ht="15" hidden="false" customHeight="false" outlineLevel="0" collapsed="false">
      <c r="C350" s="41"/>
      <c r="D350" s="41"/>
      <c r="G350" s="41"/>
    </row>
    <row r="351" customFormat="false" ht="15" hidden="false" customHeight="false" outlineLevel="0" collapsed="false">
      <c r="C351" s="41"/>
      <c r="D351" s="41"/>
      <c r="G351" s="41"/>
    </row>
    <row r="352" customFormat="false" ht="15" hidden="false" customHeight="false" outlineLevel="0" collapsed="false">
      <c r="C352" s="41"/>
      <c r="D352" s="41"/>
      <c r="G352" s="41"/>
    </row>
    <row r="353" customFormat="false" ht="15" hidden="false" customHeight="false" outlineLevel="0" collapsed="false">
      <c r="C353" s="41"/>
      <c r="D353" s="41"/>
      <c r="G353" s="41"/>
    </row>
    <row r="354" customFormat="false" ht="15" hidden="false" customHeight="false" outlineLevel="0" collapsed="false">
      <c r="C354" s="41"/>
      <c r="D354" s="41"/>
      <c r="G354" s="41"/>
    </row>
    <row r="355" customFormat="false" ht="15" hidden="false" customHeight="false" outlineLevel="0" collapsed="false">
      <c r="C355" s="41"/>
      <c r="D355" s="41"/>
      <c r="G355" s="41"/>
    </row>
    <row r="356" customFormat="false" ht="15" hidden="false" customHeight="false" outlineLevel="0" collapsed="false">
      <c r="C356" s="41"/>
      <c r="D356" s="41"/>
      <c r="G356" s="41"/>
    </row>
    <row r="357" customFormat="false" ht="15" hidden="false" customHeight="false" outlineLevel="0" collapsed="false">
      <c r="C357" s="41"/>
      <c r="D357" s="41"/>
      <c r="G357" s="41"/>
    </row>
    <row r="358" customFormat="false" ht="15" hidden="false" customHeight="false" outlineLevel="0" collapsed="false">
      <c r="C358" s="41"/>
      <c r="D358" s="41"/>
      <c r="G358" s="41"/>
    </row>
    <row r="359" customFormat="false" ht="15" hidden="false" customHeight="false" outlineLevel="0" collapsed="false">
      <c r="C359" s="41"/>
      <c r="D359" s="41"/>
      <c r="G359" s="41"/>
    </row>
    <row r="360" customFormat="false" ht="15" hidden="false" customHeight="false" outlineLevel="0" collapsed="false">
      <c r="C360" s="41"/>
      <c r="D360" s="41"/>
      <c r="G360" s="41"/>
    </row>
    <row r="361" customFormat="false" ht="15" hidden="false" customHeight="false" outlineLevel="0" collapsed="false">
      <c r="C361" s="41"/>
      <c r="D361" s="41"/>
      <c r="G361" s="41"/>
    </row>
    <row r="362" customFormat="false" ht="15" hidden="false" customHeight="false" outlineLevel="0" collapsed="false">
      <c r="C362" s="41"/>
      <c r="D362" s="41"/>
      <c r="G362" s="41"/>
    </row>
    <row r="363" customFormat="false" ht="15" hidden="false" customHeight="false" outlineLevel="0" collapsed="false">
      <c r="C363" s="41"/>
      <c r="D363" s="41"/>
      <c r="G363" s="41"/>
    </row>
    <row r="364" customFormat="false" ht="15" hidden="false" customHeight="false" outlineLevel="0" collapsed="false">
      <c r="C364" s="41"/>
      <c r="D364" s="41"/>
      <c r="G364" s="41"/>
    </row>
    <row r="365" customFormat="false" ht="15" hidden="false" customHeight="false" outlineLevel="0" collapsed="false">
      <c r="C365" s="41"/>
      <c r="D365" s="41"/>
      <c r="G365" s="41"/>
    </row>
    <row r="366" customFormat="false" ht="15" hidden="false" customHeight="false" outlineLevel="0" collapsed="false">
      <c r="C366" s="41"/>
      <c r="D366" s="41"/>
      <c r="G366" s="41"/>
    </row>
    <row r="367" customFormat="false" ht="15" hidden="false" customHeight="false" outlineLevel="0" collapsed="false">
      <c r="C367" s="41"/>
      <c r="D367" s="41"/>
      <c r="G367" s="41"/>
    </row>
    <row r="368" customFormat="false" ht="15" hidden="false" customHeight="false" outlineLevel="0" collapsed="false">
      <c r="C368" s="41"/>
      <c r="D368" s="41"/>
      <c r="G368" s="41"/>
    </row>
    <row r="369" customFormat="false" ht="15" hidden="false" customHeight="false" outlineLevel="0" collapsed="false">
      <c r="C369" s="41"/>
      <c r="D369" s="41"/>
      <c r="G369" s="41"/>
    </row>
    <row r="370" customFormat="false" ht="15" hidden="false" customHeight="false" outlineLevel="0" collapsed="false">
      <c r="C370" s="41"/>
      <c r="D370" s="41"/>
      <c r="G370" s="41"/>
    </row>
    <row r="371" customFormat="false" ht="15" hidden="false" customHeight="false" outlineLevel="0" collapsed="false">
      <c r="C371" s="41"/>
      <c r="D371" s="41"/>
      <c r="G371" s="41"/>
    </row>
    <row r="372" customFormat="false" ht="15" hidden="false" customHeight="false" outlineLevel="0" collapsed="false">
      <c r="C372" s="41"/>
      <c r="D372" s="41"/>
      <c r="G372" s="41"/>
    </row>
    <row r="373" customFormat="false" ht="15" hidden="false" customHeight="false" outlineLevel="0" collapsed="false">
      <c r="C373" s="41"/>
      <c r="D373" s="41"/>
      <c r="G373" s="41"/>
    </row>
    <row r="374" customFormat="false" ht="15" hidden="false" customHeight="false" outlineLevel="0" collapsed="false">
      <c r="C374" s="41"/>
      <c r="D374" s="41"/>
      <c r="G374" s="41"/>
    </row>
    <row r="375" customFormat="false" ht="15" hidden="false" customHeight="false" outlineLevel="0" collapsed="false">
      <c r="C375" s="41"/>
      <c r="D375" s="41"/>
      <c r="G375" s="41"/>
    </row>
    <row r="376" customFormat="false" ht="15" hidden="false" customHeight="false" outlineLevel="0" collapsed="false">
      <c r="C376" s="41"/>
      <c r="D376" s="41"/>
      <c r="G376" s="41"/>
    </row>
    <row r="377" customFormat="false" ht="15" hidden="false" customHeight="false" outlineLevel="0" collapsed="false">
      <c r="C377" s="41"/>
      <c r="D377" s="41"/>
      <c r="G377" s="41"/>
    </row>
    <row r="378" customFormat="false" ht="15" hidden="false" customHeight="false" outlineLevel="0" collapsed="false">
      <c r="C378" s="41"/>
      <c r="D378" s="41"/>
      <c r="G378" s="41"/>
    </row>
    <row r="379" customFormat="false" ht="15" hidden="false" customHeight="false" outlineLevel="0" collapsed="false">
      <c r="C379" s="41"/>
      <c r="D379" s="41"/>
      <c r="G379" s="41"/>
    </row>
    <row r="380" customFormat="false" ht="15" hidden="false" customHeight="false" outlineLevel="0" collapsed="false">
      <c r="C380" s="41"/>
      <c r="D380" s="41"/>
      <c r="G380" s="41"/>
    </row>
    <row r="381" customFormat="false" ht="15" hidden="false" customHeight="false" outlineLevel="0" collapsed="false">
      <c r="C381" s="41"/>
      <c r="D381" s="41"/>
      <c r="G381" s="41"/>
    </row>
    <row r="382" customFormat="false" ht="15" hidden="false" customHeight="false" outlineLevel="0" collapsed="false">
      <c r="C382" s="41"/>
      <c r="D382" s="41"/>
      <c r="G382" s="41"/>
    </row>
    <row r="383" customFormat="false" ht="15" hidden="false" customHeight="false" outlineLevel="0" collapsed="false">
      <c r="C383" s="41"/>
      <c r="D383" s="41"/>
      <c r="G383" s="41"/>
    </row>
    <row r="384" customFormat="false" ht="15" hidden="false" customHeight="false" outlineLevel="0" collapsed="false">
      <c r="C384" s="41"/>
      <c r="D384" s="41"/>
      <c r="G384" s="41"/>
    </row>
    <row r="385" customFormat="false" ht="15" hidden="false" customHeight="false" outlineLevel="0" collapsed="false">
      <c r="C385" s="41"/>
      <c r="D385" s="41"/>
      <c r="G385" s="41"/>
    </row>
    <row r="386" customFormat="false" ht="15" hidden="false" customHeight="false" outlineLevel="0" collapsed="false">
      <c r="C386" s="41"/>
      <c r="D386" s="41"/>
      <c r="G386" s="41"/>
    </row>
    <row r="387" customFormat="false" ht="15" hidden="false" customHeight="false" outlineLevel="0" collapsed="false">
      <c r="C387" s="41"/>
      <c r="D387" s="41"/>
      <c r="G387" s="41"/>
    </row>
    <row r="388" customFormat="false" ht="15" hidden="false" customHeight="false" outlineLevel="0" collapsed="false">
      <c r="C388" s="41"/>
      <c r="D388" s="41"/>
      <c r="G388" s="41"/>
    </row>
    <row r="389" customFormat="false" ht="15" hidden="false" customHeight="false" outlineLevel="0" collapsed="false">
      <c r="C389" s="41"/>
      <c r="D389" s="41"/>
      <c r="G389" s="41"/>
    </row>
    <row r="390" customFormat="false" ht="15" hidden="false" customHeight="false" outlineLevel="0" collapsed="false">
      <c r="C390" s="41"/>
      <c r="D390" s="41"/>
      <c r="G390" s="41"/>
    </row>
    <row r="391" customFormat="false" ht="15" hidden="false" customHeight="false" outlineLevel="0" collapsed="false">
      <c r="C391" s="41"/>
      <c r="D391" s="41"/>
      <c r="G391" s="41"/>
    </row>
    <row r="392" customFormat="false" ht="15" hidden="false" customHeight="false" outlineLevel="0" collapsed="false">
      <c r="C392" s="41"/>
      <c r="D392" s="41"/>
      <c r="G392" s="41"/>
    </row>
    <row r="393" customFormat="false" ht="15" hidden="false" customHeight="false" outlineLevel="0" collapsed="false">
      <c r="C393" s="41"/>
      <c r="D393" s="41"/>
      <c r="G393" s="41"/>
    </row>
    <row r="394" customFormat="false" ht="15" hidden="false" customHeight="false" outlineLevel="0" collapsed="false">
      <c r="C394" s="41"/>
      <c r="D394" s="41"/>
      <c r="G394" s="41"/>
    </row>
    <row r="395" customFormat="false" ht="15" hidden="false" customHeight="false" outlineLevel="0" collapsed="false">
      <c r="C395" s="41"/>
      <c r="D395" s="41"/>
      <c r="G395" s="41"/>
    </row>
    <row r="396" customFormat="false" ht="15" hidden="false" customHeight="false" outlineLevel="0" collapsed="false">
      <c r="C396" s="41"/>
      <c r="D396" s="41"/>
      <c r="G396" s="41"/>
    </row>
    <row r="397" customFormat="false" ht="15" hidden="false" customHeight="false" outlineLevel="0" collapsed="false">
      <c r="C397" s="41"/>
      <c r="D397" s="41"/>
      <c r="G397" s="41"/>
    </row>
    <row r="398" customFormat="false" ht="15" hidden="false" customHeight="false" outlineLevel="0" collapsed="false">
      <c r="C398" s="41"/>
      <c r="D398" s="41"/>
      <c r="G398" s="41"/>
    </row>
    <row r="399" customFormat="false" ht="15" hidden="false" customHeight="false" outlineLevel="0" collapsed="false">
      <c r="C399" s="41"/>
      <c r="D399" s="41"/>
      <c r="G399" s="41"/>
    </row>
    <row r="400" customFormat="false" ht="15" hidden="false" customHeight="false" outlineLevel="0" collapsed="false">
      <c r="C400" s="41"/>
      <c r="D400" s="41"/>
      <c r="G400" s="41"/>
    </row>
    <row r="401" customFormat="false" ht="15" hidden="false" customHeight="false" outlineLevel="0" collapsed="false">
      <c r="C401" s="41"/>
      <c r="D401" s="41"/>
      <c r="G401" s="41"/>
    </row>
    <row r="402" customFormat="false" ht="15" hidden="false" customHeight="false" outlineLevel="0" collapsed="false">
      <c r="C402" s="41"/>
      <c r="D402" s="41"/>
      <c r="G402" s="41"/>
    </row>
    <row r="403" customFormat="false" ht="15" hidden="false" customHeight="false" outlineLevel="0" collapsed="false">
      <c r="C403" s="41"/>
      <c r="D403" s="41"/>
      <c r="G403" s="41"/>
    </row>
    <row r="404" customFormat="false" ht="15" hidden="false" customHeight="false" outlineLevel="0" collapsed="false">
      <c r="C404" s="41"/>
      <c r="D404" s="41"/>
      <c r="G404" s="41"/>
    </row>
    <row r="405" customFormat="false" ht="15" hidden="false" customHeight="false" outlineLevel="0" collapsed="false">
      <c r="C405" s="41"/>
      <c r="D405" s="41"/>
      <c r="G405" s="41"/>
    </row>
    <row r="406" customFormat="false" ht="15" hidden="false" customHeight="false" outlineLevel="0" collapsed="false">
      <c r="C406" s="41"/>
      <c r="D406" s="41"/>
      <c r="G406" s="41"/>
    </row>
    <row r="407" customFormat="false" ht="15" hidden="false" customHeight="false" outlineLevel="0" collapsed="false">
      <c r="C407" s="41"/>
      <c r="D407" s="41"/>
      <c r="G407" s="41"/>
    </row>
    <row r="408" customFormat="false" ht="15" hidden="false" customHeight="false" outlineLevel="0" collapsed="false">
      <c r="C408" s="41"/>
      <c r="D408" s="41"/>
      <c r="G408" s="41"/>
    </row>
    <row r="409" customFormat="false" ht="15" hidden="false" customHeight="false" outlineLevel="0" collapsed="false">
      <c r="C409" s="41"/>
      <c r="D409" s="41"/>
      <c r="G409" s="41"/>
    </row>
    <row r="410" customFormat="false" ht="15" hidden="false" customHeight="false" outlineLevel="0" collapsed="false">
      <c r="C410" s="41"/>
      <c r="D410" s="41"/>
      <c r="G410" s="41"/>
    </row>
    <row r="411" customFormat="false" ht="15" hidden="false" customHeight="false" outlineLevel="0" collapsed="false">
      <c r="C411" s="41"/>
      <c r="D411" s="41"/>
      <c r="G411" s="41"/>
    </row>
    <row r="412" customFormat="false" ht="15" hidden="false" customHeight="false" outlineLevel="0" collapsed="false">
      <c r="C412" s="41"/>
      <c r="D412" s="41"/>
      <c r="G412" s="41"/>
    </row>
    <row r="413" customFormat="false" ht="15" hidden="false" customHeight="false" outlineLevel="0" collapsed="false">
      <c r="C413" s="41"/>
      <c r="D413" s="41"/>
      <c r="G413" s="41"/>
    </row>
    <row r="414" customFormat="false" ht="15" hidden="false" customHeight="false" outlineLevel="0" collapsed="false">
      <c r="C414" s="41"/>
      <c r="D414" s="41"/>
      <c r="G414" s="41"/>
    </row>
    <row r="415" customFormat="false" ht="15" hidden="false" customHeight="false" outlineLevel="0" collapsed="false">
      <c r="C415" s="41"/>
      <c r="D415" s="41"/>
      <c r="G415" s="41"/>
    </row>
    <row r="416" customFormat="false" ht="15" hidden="false" customHeight="false" outlineLevel="0" collapsed="false">
      <c r="C416" s="41"/>
      <c r="D416" s="41"/>
      <c r="G416" s="41"/>
    </row>
    <row r="417" customFormat="false" ht="15" hidden="false" customHeight="false" outlineLevel="0" collapsed="false">
      <c r="C417" s="41"/>
      <c r="D417" s="41"/>
      <c r="G417" s="41"/>
    </row>
    <row r="418" customFormat="false" ht="15" hidden="false" customHeight="false" outlineLevel="0" collapsed="false">
      <c r="C418" s="41"/>
      <c r="D418" s="41"/>
      <c r="G418" s="41"/>
    </row>
    <row r="419" customFormat="false" ht="15" hidden="false" customHeight="false" outlineLevel="0" collapsed="false">
      <c r="C419" s="41"/>
      <c r="D419" s="41"/>
      <c r="G419" s="41"/>
    </row>
    <row r="420" customFormat="false" ht="15" hidden="false" customHeight="false" outlineLevel="0" collapsed="false">
      <c r="C420" s="41"/>
      <c r="D420" s="41"/>
      <c r="G420" s="41"/>
    </row>
    <row r="421" customFormat="false" ht="15" hidden="false" customHeight="false" outlineLevel="0" collapsed="false">
      <c r="C421" s="41"/>
      <c r="D421" s="41"/>
      <c r="G421" s="41"/>
    </row>
    <row r="422" customFormat="false" ht="15" hidden="false" customHeight="false" outlineLevel="0" collapsed="false">
      <c r="C422" s="41"/>
      <c r="D422" s="41"/>
      <c r="G422" s="41"/>
    </row>
    <row r="423" customFormat="false" ht="15" hidden="false" customHeight="false" outlineLevel="0" collapsed="false">
      <c r="C423" s="41"/>
      <c r="D423" s="41"/>
      <c r="G423" s="41"/>
    </row>
    <row r="424" customFormat="false" ht="15" hidden="false" customHeight="false" outlineLevel="0" collapsed="false">
      <c r="C424" s="41"/>
      <c r="D424" s="41"/>
      <c r="G424" s="41"/>
    </row>
    <row r="425" customFormat="false" ht="15" hidden="false" customHeight="false" outlineLevel="0" collapsed="false">
      <c r="C425" s="41"/>
      <c r="D425" s="41"/>
      <c r="G425" s="41"/>
    </row>
    <row r="426" customFormat="false" ht="15" hidden="false" customHeight="false" outlineLevel="0" collapsed="false">
      <c r="C426" s="41"/>
      <c r="D426" s="41"/>
      <c r="G426" s="41"/>
    </row>
    <row r="427" customFormat="false" ht="15" hidden="false" customHeight="false" outlineLevel="0" collapsed="false">
      <c r="C427" s="41"/>
      <c r="D427" s="41"/>
      <c r="G427" s="41"/>
    </row>
    <row r="428" customFormat="false" ht="15" hidden="false" customHeight="false" outlineLevel="0" collapsed="false">
      <c r="C428" s="41"/>
      <c r="D428" s="41"/>
      <c r="G428" s="41"/>
    </row>
    <row r="429" customFormat="false" ht="15" hidden="false" customHeight="false" outlineLevel="0" collapsed="false">
      <c r="C429" s="41"/>
      <c r="D429" s="41"/>
      <c r="G429" s="41"/>
    </row>
    <row r="430" customFormat="false" ht="15" hidden="false" customHeight="false" outlineLevel="0" collapsed="false">
      <c r="C430" s="41"/>
      <c r="D430" s="41"/>
      <c r="G430" s="41"/>
    </row>
    <row r="431" customFormat="false" ht="15" hidden="false" customHeight="false" outlineLevel="0" collapsed="false">
      <c r="C431" s="41"/>
      <c r="D431" s="41"/>
      <c r="G431" s="41"/>
    </row>
    <row r="432" customFormat="false" ht="15" hidden="false" customHeight="false" outlineLevel="0" collapsed="false">
      <c r="C432" s="41"/>
      <c r="D432" s="41"/>
      <c r="G432" s="41"/>
    </row>
    <row r="433" customFormat="false" ht="15" hidden="false" customHeight="false" outlineLevel="0" collapsed="false">
      <c r="C433" s="41"/>
      <c r="D433" s="41"/>
      <c r="G433" s="41"/>
    </row>
    <row r="434" customFormat="false" ht="15" hidden="false" customHeight="false" outlineLevel="0" collapsed="false">
      <c r="C434" s="41"/>
      <c r="D434" s="41"/>
      <c r="G434" s="41"/>
    </row>
    <row r="435" customFormat="false" ht="15" hidden="false" customHeight="false" outlineLevel="0" collapsed="false">
      <c r="C435" s="41"/>
      <c r="D435" s="41"/>
      <c r="G435" s="41"/>
    </row>
    <row r="436" customFormat="false" ht="15" hidden="false" customHeight="false" outlineLevel="0" collapsed="false">
      <c r="C436" s="41"/>
      <c r="D436" s="41"/>
      <c r="G436" s="41"/>
    </row>
    <row r="437" customFormat="false" ht="15" hidden="false" customHeight="false" outlineLevel="0" collapsed="false">
      <c r="C437" s="41"/>
      <c r="D437" s="41"/>
      <c r="G437" s="41"/>
    </row>
    <row r="438" customFormat="false" ht="15" hidden="false" customHeight="false" outlineLevel="0" collapsed="false">
      <c r="C438" s="41"/>
      <c r="D438" s="41"/>
      <c r="G438" s="41"/>
    </row>
    <row r="439" customFormat="false" ht="15" hidden="false" customHeight="false" outlineLevel="0" collapsed="false">
      <c r="C439" s="41"/>
      <c r="D439" s="41"/>
      <c r="G439" s="41"/>
    </row>
    <row r="440" customFormat="false" ht="15" hidden="false" customHeight="false" outlineLevel="0" collapsed="false">
      <c r="C440" s="41"/>
      <c r="D440" s="41"/>
      <c r="G440" s="41"/>
    </row>
    <row r="441" customFormat="false" ht="15" hidden="false" customHeight="false" outlineLevel="0" collapsed="false">
      <c r="C441" s="41"/>
      <c r="D441" s="41"/>
      <c r="G441" s="41"/>
    </row>
    <row r="442" customFormat="false" ht="15" hidden="false" customHeight="false" outlineLevel="0" collapsed="false">
      <c r="C442" s="41"/>
      <c r="D442" s="41"/>
      <c r="G442" s="41"/>
    </row>
    <row r="443" customFormat="false" ht="15" hidden="false" customHeight="false" outlineLevel="0" collapsed="false">
      <c r="C443" s="41"/>
      <c r="D443" s="41"/>
      <c r="G443" s="41"/>
    </row>
    <row r="444" customFormat="false" ht="15" hidden="false" customHeight="false" outlineLevel="0" collapsed="false">
      <c r="C444" s="41"/>
      <c r="D444" s="41"/>
      <c r="G444" s="41"/>
    </row>
    <row r="445" customFormat="false" ht="15" hidden="false" customHeight="false" outlineLevel="0" collapsed="false">
      <c r="C445" s="41"/>
      <c r="D445" s="41"/>
      <c r="G445" s="41"/>
    </row>
    <row r="446" customFormat="false" ht="15" hidden="false" customHeight="false" outlineLevel="0" collapsed="false">
      <c r="C446" s="41"/>
      <c r="D446" s="41"/>
      <c r="G446" s="41"/>
    </row>
    <row r="447" customFormat="false" ht="15" hidden="false" customHeight="false" outlineLevel="0" collapsed="false">
      <c r="C447" s="41"/>
      <c r="D447" s="41"/>
      <c r="G447" s="41"/>
    </row>
    <row r="448" customFormat="false" ht="15" hidden="false" customHeight="false" outlineLevel="0" collapsed="false">
      <c r="C448" s="41"/>
      <c r="D448" s="41"/>
      <c r="G448" s="41"/>
    </row>
    <row r="449" customFormat="false" ht="15" hidden="false" customHeight="false" outlineLevel="0" collapsed="false">
      <c r="C449" s="41"/>
      <c r="D449" s="41"/>
      <c r="G449" s="41"/>
    </row>
    <row r="450" customFormat="false" ht="15" hidden="false" customHeight="false" outlineLevel="0" collapsed="false">
      <c r="C450" s="41"/>
      <c r="D450" s="41"/>
      <c r="G450" s="41"/>
    </row>
    <row r="451" customFormat="false" ht="15" hidden="false" customHeight="false" outlineLevel="0" collapsed="false">
      <c r="C451" s="41"/>
      <c r="D451" s="41"/>
      <c r="G451" s="41"/>
    </row>
    <row r="452" customFormat="false" ht="15" hidden="false" customHeight="false" outlineLevel="0" collapsed="false">
      <c r="C452" s="41"/>
      <c r="D452" s="41"/>
      <c r="G452" s="41"/>
    </row>
    <row r="453" customFormat="false" ht="15" hidden="false" customHeight="false" outlineLevel="0" collapsed="false">
      <c r="C453" s="41"/>
      <c r="D453" s="41"/>
      <c r="G453" s="41"/>
    </row>
    <row r="454" customFormat="false" ht="15" hidden="false" customHeight="false" outlineLevel="0" collapsed="false">
      <c r="C454" s="41"/>
      <c r="D454" s="41"/>
      <c r="G454" s="41"/>
    </row>
    <row r="455" customFormat="false" ht="15" hidden="false" customHeight="false" outlineLevel="0" collapsed="false">
      <c r="C455" s="41"/>
      <c r="D455" s="41"/>
      <c r="G455" s="41"/>
    </row>
    <row r="456" customFormat="false" ht="15" hidden="false" customHeight="false" outlineLevel="0" collapsed="false">
      <c r="C456" s="41"/>
      <c r="D456" s="41"/>
      <c r="G456" s="41"/>
    </row>
    <row r="457" customFormat="false" ht="15" hidden="false" customHeight="false" outlineLevel="0" collapsed="false">
      <c r="C457" s="41"/>
      <c r="D457" s="41"/>
      <c r="G457" s="41"/>
    </row>
    <row r="458" customFormat="false" ht="15" hidden="false" customHeight="false" outlineLevel="0" collapsed="false">
      <c r="C458" s="41"/>
      <c r="D458" s="41"/>
      <c r="G458" s="41"/>
    </row>
    <row r="459" customFormat="false" ht="15" hidden="false" customHeight="false" outlineLevel="0" collapsed="false">
      <c r="C459" s="41"/>
      <c r="D459" s="41"/>
      <c r="G459" s="41"/>
    </row>
    <row r="460" customFormat="false" ht="15" hidden="false" customHeight="false" outlineLevel="0" collapsed="false">
      <c r="C460" s="41"/>
      <c r="D460" s="41"/>
      <c r="G460" s="41"/>
    </row>
    <row r="461" customFormat="false" ht="15" hidden="false" customHeight="false" outlineLevel="0" collapsed="false">
      <c r="C461" s="41"/>
      <c r="D461" s="41"/>
      <c r="G461" s="41"/>
    </row>
    <row r="462" customFormat="false" ht="15" hidden="false" customHeight="false" outlineLevel="0" collapsed="false">
      <c r="C462" s="41"/>
      <c r="D462" s="41"/>
      <c r="G462" s="41"/>
    </row>
    <row r="463" customFormat="false" ht="15" hidden="false" customHeight="false" outlineLevel="0" collapsed="false">
      <c r="C463" s="41"/>
      <c r="D463" s="41"/>
      <c r="G463" s="41"/>
    </row>
    <row r="464" customFormat="false" ht="15" hidden="false" customHeight="false" outlineLevel="0" collapsed="false">
      <c r="C464" s="41"/>
      <c r="D464" s="41"/>
      <c r="G464" s="41"/>
    </row>
    <row r="465" customFormat="false" ht="15" hidden="false" customHeight="false" outlineLevel="0" collapsed="false">
      <c r="C465" s="41"/>
      <c r="D465" s="41"/>
      <c r="G465" s="41"/>
    </row>
    <row r="466" customFormat="false" ht="15" hidden="false" customHeight="false" outlineLevel="0" collapsed="false">
      <c r="C466" s="41"/>
      <c r="D466" s="41"/>
      <c r="G466" s="41"/>
    </row>
    <row r="467" customFormat="false" ht="15" hidden="false" customHeight="false" outlineLevel="0" collapsed="false">
      <c r="C467" s="41"/>
      <c r="D467" s="41"/>
      <c r="G467" s="41"/>
    </row>
    <row r="468" customFormat="false" ht="15" hidden="false" customHeight="false" outlineLevel="0" collapsed="false">
      <c r="C468" s="41"/>
      <c r="D468" s="41"/>
      <c r="G468" s="41"/>
    </row>
    <row r="469" customFormat="false" ht="15" hidden="false" customHeight="false" outlineLevel="0" collapsed="false">
      <c r="C469" s="41"/>
      <c r="D469" s="41"/>
      <c r="G469" s="41"/>
    </row>
    <row r="470" customFormat="false" ht="15" hidden="false" customHeight="false" outlineLevel="0" collapsed="false">
      <c r="C470" s="41"/>
      <c r="D470" s="41"/>
      <c r="G470" s="41"/>
    </row>
    <row r="471" customFormat="false" ht="15" hidden="false" customHeight="false" outlineLevel="0" collapsed="false">
      <c r="C471" s="41"/>
      <c r="D471" s="41"/>
      <c r="G471" s="41"/>
    </row>
    <row r="472" customFormat="false" ht="15" hidden="false" customHeight="false" outlineLevel="0" collapsed="false">
      <c r="C472" s="41"/>
      <c r="D472" s="41"/>
      <c r="G472" s="41"/>
    </row>
    <row r="473" customFormat="false" ht="15" hidden="false" customHeight="false" outlineLevel="0" collapsed="false">
      <c r="C473" s="41"/>
      <c r="D473" s="41"/>
      <c r="G473" s="41"/>
    </row>
    <row r="474" customFormat="false" ht="15" hidden="false" customHeight="false" outlineLevel="0" collapsed="false">
      <c r="C474" s="41"/>
      <c r="D474" s="41"/>
      <c r="G474" s="41"/>
    </row>
    <row r="475" customFormat="false" ht="15" hidden="false" customHeight="false" outlineLevel="0" collapsed="false">
      <c r="C475" s="41"/>
      <c r="D475" s="41"/>
      <c r="G475" s="41"/>
    </row>
    <row r="476" customFormat="false" ht="15" hidden="false" customHeight="false" outlineLevel="0" collapsed="false">
      <c r="C476" s="41"/>
      <c r="D476" s="41"/>
      <c r="G476" s="41"/>
    </row>
    <row r="477" customFormat="false" ht="15" hidden="false" customHeight="false" outlineLevel="0" collapsed="false">
      <c r="C477" s="41"/>
      <c r="D477" s="41"/>
      <c r="G477" s="41"/>
    </row>
    <row r="478" customFormat="false" ht="15" hidden="false" customHeight="false" outlineLevel="0" collapsed="false">
      <c r="C478" s="41"/>
      <c r="D478" s="41"/>
      <c r="G478" s="41"/>
    </row>
    <row r="479" customFormat="false" ht="15" hidden="false" customHeight="false" outlineLevel="0" collapsed="false">
      <c r="C479" s="41"/>
      <c r="D479" s="41"/>
      <c r="G479" s="41"/>
    </row>
    <row r="480" customFormat="false" ht="15" hidden="false" customHeight="false" outlineLevel="0" collapsed="false">
      <c r="C480" s="41"/>
      <c r="D480" s="41"/>
      <c r="G480" s="41"/>
    </row>
    <row r="481" customFormat="false" ht="15" hidden="false" customHeight="false" outlineLevel="0" collapsed="false">
      <c r="C481" s="41"/>
      <c r="D481" s="41"/>
      <c r="G481" s="41"/>
    </row>
    <row r="482" customFormat="false" ht="15" hidden="false" customHeight="false" outlineLevel="0" collapsed="false">
      <c r="C482" s="41"/>
      <c r="D482" s="41"/>
      <c r="G482" s="41"/>
    </row>
    <row r="483" customFormat="false" ht="15" hidden="false" customHeight="false" outlineLevel="0" collapsed="false">
      <c r="C483" s="41"/>
      <c r="D483" s="41"/>
      <c r="G483" s="41"/>
    </row>
    <row r="484" customFormat="false" ht="15" hidden="false" customHeight="false" outlineLevel="0" collapsed="false">
      <c r="C484" s="41"/>
      <c r="D484" s="41"/>
      <c r="G484" s="41"/>
    </row>
    <row r="485" customFormat="false" ht="15" hidden="false" customHeight="false" outlineLevel="0" collapsed="false">
      <c r="C485" s="41"/>
      <c r="D485" s="41"/>
      <c r="G485" s="41"/>
    </row>
    <row r="486" customFormat="false" ht="15" hidden="false" customHeight="false" outlineLevel="0" collapsed="false">
      <c r="C486" s="41"/>
      <c r="D486" s="41"/>
      <c r="G486" s="41"/>
    </row>
    <row r="487" customFormat="false" ht="15" hidden="false" customHeight="false" outlineLevel="0" collapsed="false">
      <c r="C487" s="41"/>
      <c r="D487" s="41"/>
      <c r="G487" s="41"/>
    </row>
    <row r="488" customFormat="false" ht="15" hidden="false" customHeight="false" outlineLevel="0" collapsed="false">
      <c r="C488" s="41"/>
      <c r="D488" s="41"/>
      <c r="G488" s="41"/>
    </row>
    <row r="489" customFormat="false" ht="15" hidden="false" customHeight="false" outlineLevel="0" collapsed="false">
      <c r="C489" s="41"/>
      <c r="D489" s="41"/>
      <c r="G489" s="41"/>
    </row>
    <row r="490" customFormat="false" ht="15" hidden="false" customHeight="false" outlineLevel="0" collapsed="false">
      <c r="C490" s="41"/>
      <c r="D490" s="41"/>
      <c r="G490" s="41"/>
    </row>
    <row r="491" customFormat="false" ht="15" hidden="false" customHeight="false" outlineLevel="0" collapsed="false">
      <c r="C491" s="41"/>
      <c r="D491" s="41"/>
      <c r="G491" s="41"/>
    </row>
    <row r="492" customFormat="false" ht="15" hidden="false" customHeight="false" outlineLevel="0" collapsed="false">
      <c r="C492" s="41"/>
      <c r="D492" s="41"/>
      <c r="G492" s="41"/>
    </row>
    <row r="493" customFormat="false" ht="15" hidden="false" customHeight="false" outlineLevel="0" collapsed="false">
      <c r="C493" s="41"/>
      <c r="D493" s="41"/>
      <c r="G493" s="41"/>
    </row>
    <row r="494" customFormat="false" ht="15" hidden="false" customHeight="false" outlineLevel="0" collapsed="false">
      <c r="C494" s="41"/>
      <c r="D494" s="41"/>
      <c r="G494" s="41"/>
    </row>
    <row r="495" customFormat="false" ht="15" hidden="false" customHeight="false" outlineLevel="0" collapsed="false">
      <c r="C495" s="41"/>
      <c r="D495" s="41"/>
      <c r="G495" s="41"/>
    </row>
    <row r="496" customFormat="false" ht="15" hidden="false" customHeight="false" outlineLevel="0" collapsed="false">
      <c r="C496" s="41"/>
      <c r="D496" s="41"/>
      <c r="G496" s="41"/>
    </row>
    <row r="497" customFormat="false" ht="15" hidden="false" customHeight="false" outlineLevel="0" collapsed="false">
      <c r="C497" s="41"/>
      <c r="D497" s="41"/>
      <c r="G497" s="41"/>
    </row>
    <row r="498" customFormat="false" ht="15" hidden="false" customHeight="false" outlineLevel="0" collapsed="false">
      <c r="C498" s="41"/>
      <c r="D498" s="41"/>
      <c r="G498" s="41"/>
    </row>
    <row r="499" customFormat="false" ht="15" hidden="false" customHeight="false" outlineLevel="0" collapsed="false">
      <c r="C499" s="41"/>
      <c r="D499" s="41"/>
      <c r="G499" s="41"/>
    </row>
    <row r="500" customFormat="false" ht="15" hidden="false" customHeight="false" outlineLevel="0" collapsed="false">
      <c r="C500" s="41"/>
      <c r="D500" s="41"/>
      <c r="G500" s="41"/>
    </row>
  </sheetData>
  <autoFilter ref="A1:H200"/>
  <dataValidations count="3">
    <dataValidation allowBlank="true" error="Escolha um valor da lista." errorStyle="stop" errorTitle="Valor inválido" operator="equal" showDropDown="false" showErrorMessage="true" showInputMessage="false" sqref="C2:C500" type="list">
      <formula1>"Cavalo,Carreta,Van,Utilitário,Moto,Gerador,Equipamento"</formula1>
      <formula2>0</formula2>
    </dataValidation>
    <dataValidation allowBlank="true" error="Escolha um valor da lista." errorStyle="stop" errorTitle="Valor inválido" operator="equal" showDropDown="false" showErrorMessage="true" showInputMessage="false" sqref="D2:D500" type="list">
      <formula1>"Próprio,Locado"</formula1>
      <formula2>0</formula2>
    </dataValidation>
    <dataValidation allowBlank="true" error="Escolha um valor da lista." errorStyle="stop" errorTitle="Valor inválido" operator="equal" showDropDown="false" showErrorMessage="true" showInputMessage="false" sqref="G2:G500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true" outlineLevel="0" max="8" min="8" style="0" width="22"/>
    <col collapsed="false" customWidth="true" hidden="false" outlineLevel="0" max="10" min="9" style="0" width="14"/>
  </cols>
  <sheetData>
    <row r="1" customFormat="false" ht="21.75" hidden="false" customHeight="true" outlineLevel="0" collapsed="false">
      <c r="A1" s="40" t="s">
        <v>48</v>
      </c>
      <c r="B1" s="40" t="s">
        <v>83</v>
      </c>
      <c r="C1" s="40" t="s">
        <v>49</v>
      </c>
      <c r="D1" s="40" t="s">
        <v>50</v>
      </c>
      <c r="E1" s="40" t="s">
        <v>95</v>
      </c>
      <c r="F1" s="40" t="s">
        <v>119</v>
      </c>
      <c r="G1" s="40" t="s">
        <v>52</v>
      </c>
      <c r="H1" s="40"/>
    </row>
    <row r="2" customFormat="false" ht="13.8" hidden="false" customHeight="false" outlineLevel="0" collapsed="false">
      <c r="A2" s="0" t="s">
        <v>120</v>
      </c>
      <c r="B2" s="0" t="s">
        <v>88</v>
      </c>
      <c r="C2" s="0" t="s">
        <v>121</v>
      </c>
      <c r="D2" s="41" t="s">
        <v>122</v>
      </c>
      <c r="E2" s="41" t="s">
        <v>106</v>
      </c>
      <c r="F2" s="0" t="s">
        <v>123</v>
      </c>
      <c r="G2" s="41" t="s">
        <v>124</v>
      </c>
      <c r="H2" s="0" t="str">
        <f aca="false">IF(OR($B2="",$B2&lt;&gt;PASSAPORTE!$B$4),"",COUNTIF($B$2:$B2,PASSAPORTE!$B$4))</f>
        <v/>
      </c>
    </row>
    <row r="3" customFormat="false" ht="13.8" hidden="false" customHeight="false" outlineLevel="0" collapsed="false">
      <c r="A3" s="0" t="s">
        <v>125</v>
      </c>
      <c r="B3" s="0" t="s">
        <v>88</v>
      </c>
      <c r="C3" s="0" t="s">
        <v>126</v>
      </c>
      <c r="D3" s="41" t="s">
        <v>122</v>
      </c>
      <c r="E3" s="41" t="s">
        <v>106</v>
      </c>
      <c r="F3" s="0" t="s">
        <v>123</v>
      </c>
      <c r="G3" s="41" t="s">
        <v>124</v>
      </c>
      <c r="H3" s="0" t="str">
        <f aca="false">IF(OR($B3="",$B3&lt;&gt;PASSAPORTE!$B$4),"",COUNTIF($B$2:$B3,PASSAPORTE!$B$4))</f>
        <v/>
      </c>
    </row>
    <row r="4" customFormat="false" ht="13.8" hidden="false" customHeight="false" outlineLevel="0" collapsed="false">
      <c r="A4" s="0" t="s">
        <v>127</v>
      </c>
      <c r="B4" s="0" t="s">
        <v>88</v>
      </c>
      <c r="C4" s="0" t="s">
        <v>128</v>
      </c>
      <c r="D4" s="41" t="s">
        <v>129</v>
      </c>
      <c r="E4" s="41" t="s">
        <v>101</v>
      </c>
      <c r="F4" s="0" t="s">
        <v>130</v>
      </c>
      <c r="G4" s="41" t="s">
        <v>131</v>
      </c>
      <c r="H4" s="0" t="str">
        <f aca="false">IF(OR($B4="",$B4&lt;&gt;PASSAPORTE!$B$4),"",COUNTIF($B$2:$B4,PASSAPORTE!$B$4))</f>
        <v/>
      </c>
    </row>
    <row r="5" customFormat="false" ht="13.8" hidden="false" customHeight="false" outlineLevel="0" collapsed="false">
      <c r="A5" s="0" t="s">
        <v>132</v>
      </c>
      <c r="B5" s="0" t="s">
        <v>89</v>
      </c>
      <c r="C5" s="0" t="s">
        <v>121</v>
      </c>
      <c r="D5" s="41" t="s">
        <v>122</v>
      </c>
      <c r="E5" s="41" t="s">
        <v>106</v>
      </c>
      <c r="F5" s="0" t="s">
        <v>123</v>
      </c>
      <c r="G5" s="41" t="s">
        <v>124</v>
      </c>
      <c r="H5" s="42" t="str">
        <f aca="false">IF(OR($B5="",$B5&lt;&gt;PASSAPORTE!$B$4),"",COUNTIF($B$2:$B5,PASSAPORTE!$B$4))</f>
        <v/>
      </c>
    </row>
    <row r="6" customFormat="false" ht="13.8" hidden="false" customHeight="false" outlineLevel="0" collapsed="false">
      <c r="A6" s="0" t="s">
        <v>133</v>
      </c>
      <c r="B6" s="0" t="s">
        <v>89</v>
      </c>
      <c r="C6" s="0" t="s">
        <v>126</v>
      </c>
      <c r="D6" s="41" t="s">
        <v>122</v>
      </c>
      <c r="E6" s="41" t="s">
        <v>106</v>
      </c>
      <c r="F6" s="0" t="s">
        <v>123</v>
      </c>
      <c r="G6" s="41" t="s">
        <v>124</v>
      </c>
      <c r="H6" s="42" t="str">
        <f aca="false">IF(OR($B6="",$B6&lt;&gt;PASSAPORTE!$B$4),"",COUNTIF($B$2:$B6,PASSAPORTE!$B$4))</f>
        <v/>
      </c>
    </row>
    <row r="7" customFormat="false" ht="13.8" hidden="false" customHeight="false" outlineLevel="0" collapsed="false">
      <c r="A7" s="0" t="s">
        <v>134</v>
      </c>
      <c r="B7" s="0" t="s">
        <v>89</v>
      </c>
      <c r="C7" s="0" t="s">
        <v>135</v>
      </c>
      <c r="D7" s="41" t="s">
        <v>122</v>
      </c>
      <c r="E7" s="41" t="s">
        <v>106</v>
      </c>
      <c r="F7" s="0" t="s">
        <v>123</v>
      </c>
      <c r="G7" s="41" t="s">
        <v>124</v>
      </c>
      <c r="H7" s="42" t="str">
        <f aca="false">IF(OR($B7="",$B7&lt;&gt;PASSAPORTE!$B$4),"",COUNTIF($B$2:$B7,PASSAPORTE!$B$4))</f>
        <v/>
      </c>
    </row>
    <row r="8" customFormat="false" ht="13.8" hidden="false" customHeight="false" outlineLevel="0" collapsed="false">
      <c r="A8" s="0" t="s">
        <v>136</v>
      </c>
      <c r="B8" s="0" t="s">
        <v>30</v>
      </c>
      <c r="C8" s="0" t="s">
        <v>121</v>
      </c>
      <c r="D8" s="41" t="s">
        <v>129</v>
      </c>
      <c r="E8" s="41" t="s">
        <v>101</v>
      </c>
      <c r="F8" s="0" t="s">
        <v>137</v>
      </c>
      <c r="G8" s="41" t="s">
        <v>131</v>
      </c>
      <c r="H8" s="42" t="n">
        <f aca="false">IF(OR($B8="",$B8&lt;&gt;PASSAPORTE!$B$4),"",COUNTIF($B$2:$B8,PASSAPORTE!$B$4))</f>
        <v>1</v>
      </c>
    </row>
    <row r="9" customFormat="false" ht="13.8" hidden="false" customHeight="false" outlineLevel="0" collapsed="false">
      <c r="A9" s="0" t="s">
        <v>138</v>
      </c>
      <c r="B9" s="0" t="s">
        <v>30</v>
      </c>
      <c r="C9" s="0" t="s">
        <v>128</v>
      </c>
      <c r="D9" s="41" t="s">
        <v>129</v>
      </c>
      <c r="E9" s="41" t="s">
        <v>110</v>
      </c>
      <c r="F9" s="0" t="s">
        <v>139</v>
      </c>
      <c r="G9" s="41" t="s">
        <v>140</v>
      </c>
      <c r="H9" s="42" t="n">
        <f aca="false">IF(OR($B9="",$B9&lt;&gt;PASSAPORTE!$B$4),"",COUNTIF($B$2:$B9,PASSAPORTE!$B$4))</f>
        <v>2</v>
      </c>
    </row>
    <row r="10" customFormat="false" ht="13.8" hidden="false" customHeight="false" outlineLevel="0" collapsed="false">
      <c r="A10" s="0" t="s">
        <v>141</v>
      </c>
      <c r="B10" s="0" t="s">
        <v>30</v>
      </c>
      <c r="C10" s="0" t="s">
        <v>142</v>
      </c>
      <c r="D10" s="41" t="s">
        <v>122</v>
      </c>
      <c r="E10" s="41" t="s">
        <v>106</v>
      </c>
      <c r="F10" s="0" t="s">
        <v>123</v>
      </c>
      <c r="G10" s="41" t="s">
        <v>124</v>
      </c>
      <c r="H10" s="42" t="n">
        <f aca="false">IF(OR($B10="",$B10&lt;&gt;PASSAPORTE!$B$4),"",COUNTIF($B$2:$B10,PASSAPORTE!$B$4))</f>
        <v>3</v>
      </c>
    </row>
    <row r="11" customFormat="false" ht="13.8" hidden="false" customHeight="false" outlineLevel="0" collapsed="false">
      <c r="A11" s="0" t="s">
        <v>143</v>
      </c>
      <c r="B11" s="0" t="s">
        <v>90</v>
      </c>
      <c r="C11" s="0" t="s">
        <v>121</v>
      </c>
      <c r="D11" s="41" t="s">
        <v>144</v>
      </c>
      <c r="E11" s="41" t="s">
        <v>114</v>
      </c>
      <c r="F11" s="0" t="s">
        <v>145</v>
      </c>
      <c r="G11" s="41" t="s">
        <v>140</v>
      </c>
      <c r="H11" s="42" t="str">
        <f aca="false">IF(OR($B11="",$B11&lt;&gt;PASSAPORTE!$B$4),"",COUNTIF($B$2:$B11,PASSAPORTE!$B$4))</f>
        <v/>
      </c>
    </row>
    <row r="12" customFormat="false" ht="13.8" hidden="false" customHeight="false" outlineLevel="0" collapsed="false">
      <c r="A12" s="0" t="s">
        <v>146</v>
      </c>
      <c r="B12" s="0" t="s">
        <v>90</v>
      </c>
      <c r="C12" s="0" t="s">
        <v>147</v>
      </c>
      <c r="D12" s="41" t="s">
        <v>144</v>
      </c>
      <c r="E12" s="41" t="s">
        <v>114</v>
      </c>
      <c r="F12" s="0" t="s">
        <v>148</v>
      </c>
      <c r="G12" s="41" t="s">
        <v>140</v>
      </c>
      <c r="H12" s="42" t="str">
        <f aca="false">IF(OR($B12="",$B12&lt;&gt;PASSAPORTE!$B$4),"",COUNTIF($B$2:$B12,PASSAPORTE!$B$4))</f>
        <v/>
      </c>
    </row>
    <row r="13" customFormat="false" ht="13.8" hidden="false" customHeight="false" outlineLevel="0" collapsed="false">
      <c r="A13" s="0" t="s">
        <v>149</v>
      </c>
      <c r="B13" s="0" t="s">
        <v>90</v>
      </c>
      <c r="C13" s="0" t="s">
        <v>150</v>
      </c>
      <c r="D13" s="41" t="s">
        <v>129</v>
      </c>
      <c r="E13" s="41" t="s">
        <v>110</v>
      </c>
      <c r="F13" s="0" t="s">
        <v>151</v>
      </c>
      <c r="G13" s="41" t="s">
        <v>140</v>
      </c>
      <c r="H13" s="42" t="str">
        <f aca="false">IF(OR($B13="",$B13&lt;&gt;PASSAPORTE!$B$4),"",COUNTIF($B$2:$B13,PASSAPORTE!$B$4))</f>
        <v/>
      </c>
    </row>
    <row r="14" customFormat="false" ht="13.8" hidden="false" customHeight="false" outlineLevel="0" collapsed="false">
      <c r="A14" s="0" t="s">
        <v>152</v>
      </c>
      <c r="B14" s="0" t="s">
        <v>91</v>
      </c>
      <c r="C14" s="0" t="s">
        <v>121</v>
      </c>
      <c r="D14" s="41" t="s">
        <v>122</v>
      </c>
      <c r="E14" s="41" t="s">
        <v>106</v>
      </c>
      <c r="F14" s="0" t="s">
        <v>123</v>
      </c>
      <c r="G14" s="41" t="s">
        <v>124</v>
      </c>
      <c r="H14" s="0" t="str">
        <f aca="false">IF(OR($B14="",$B14&lt;&gt;PASSAPORTE!$B$4),"",COUNTIF($B$2:$B14,PASSAPORTE!$B$4))</f>
        <v/>
      </c>
    </row>
    <row r="15" customFormat="false" ht="13.8" hidden="false" customHeight="false" outlineLevel="0" collapsed="false">
      <c r="A15" s="0" t="s">
        <v>153</v>
      </c>
      <c r="B15" s="0" t="s">
        <v>91</v>
      </c>
      <c r="C15" s="0" t="s">
        <v>128</v>
      </c>
      <c r="D15" s="41" t="s">
        <v>122</v>
      </c>
      <c r="E15" s="41" t="s">
        <v>106</v>
      </c>
      <c r="F15" s="0" t="s">
        <v>123</v>
      </c>
      <c r="G15" s="41" t="s">
        <v>124</v>
      </c>
      <c r="H15" s="0" t="str">
        <f aca="false">IF(OR($B15="",$B15&lt;&gt;PASSAPORTE!$B$4),"",COUNTIF($B$2:$B15,PASSAPORTE!$B$4))</f>
        <v/>
      </c>
    </row>
    <row r="16" customFormat="false" ht="13.8" hidden="false" customHeight="false" outlineLevel="0" collapsed="false">
      <c r="A16" s="0" t="s">
        <v>154</v>
      </c>
      <c r="B16" s="0" t="s">
        <v>91</v>
      </c>
      <c r="C16" s="0" t="s">
        <v>155</v>
      </c>
      <c r="D16" s="41" t="s">
        <v>122</v>
      </c>
      <c r="E16" s="41" t="s">
        <v>106</v>
      </c>
      <c r="F16" s="0" t="s">
        <v>123</v>
      </c>
      <c r="G16" s="41" t="s">
        <v>124</v>
      </c>
      <c r="H16" s="0" t="str">
        <f aca="false">IF(OR($B16="",$B16&lt;&gt;PASSAPORTE!$B$4),"",COUNTIF($B$2:$B16,PASSAPORTE!$B$4))</f>
        <v/>
      </c>
    </row>
    <row r="17" customFormat="false" ht="15" hidden="false" customHeight="false" outlineLevel="0" collapsed="false">
      <c r="D17" s="41"/>
      <c r="E17" s="41"/>
      <c r="G17" s="41"/>
    </row>
    <row r="18" customFormat="false" ht="15" hidden="false" customHeight="false" outlineLevel="0" collapsed="false">
      <c r="D18" s="41"/>
      <c r="E18" s="41"/>
      <c r="G18" s="41"/>
    </row>
    <row r="19" customFormat="false" ht="15" hidden="false" customHeight="false" outlineLevel="0" collapsed="false">
      <c r="D19" s="41"/>
      <c r="E19" s="41"/>
      <c r="G19" s="41"/>
    </row>
    <row r="20" customFormat="false" ht="15" hidden="false" customHeight="false" outlineLevel="0" collapsed="false">
      <c r="D20" s="41"/>
      <c r="E20" s="41"/>
      <c r="G20" s="41"/>
    </row>
    <row r="21" customFormat="false" ht="15" hidden="false" customHeight="false" outlineLevel="0" collapsed="false">
      <c r="D21" s="41"/>
      <c r="E21" s="41"/>
      <c r="G21" s="41"/>
    </row>
    <row r="22" customFormat="false" ht="15" hidden="false" customHeight="false" outlineLevel="0" collapsed="false">
      <c r="D22" s="41"/>
      <c r="E22" s="41"/>
      <c r="G22" s="41"/>
    </row>
    <row r="23" customFormat="false" ht="15" hidden="false" customHeight="false" outlineLevel="0" collapsed="false">
      <c r="D23" s="41"/>
      <c r="E23" s="41"/>
      <c r="G23" s="41"/>
    </row>
    <row r="24" customFormat="false" ht="15" hidden="false" customHeight="false" outlineLevel="0" collapsed="false">
      <c r="D24" s="41"/>
      <c r="E24" s="41"/>
      <c r="G24" s="41"/>
    </row>
    <row r="25" customFormat="false" ht="15" hidden="false" customHeight="false" outlineLevel="0" collapsed="false">
      <c r="D25" s="41"/>
      <c r="E25" s="41"/>
      <c r="G25" s="41"/>
    </row>
    <row r="26" customFormat="false" ht="15" hidden="false" customHeight="false" outlineLevel="0" collapsed="false">
      <c r="D26" s="41"/>
      <c r="E26" s="41"/>
      <c r="G26" s="41"/>
    </row>
    <row r="27" customFormat="false" ht="15" hidden="false" customHeight="false" outlineLevel="0" collapsed="false">
      <c r="D27" s="41"/>
      <c r="E27" s="41"/>
      <c r="G27" s="41"/>
    </row>
    <row r="28" customFormat="false" ht="15" hidden="false" customHeight="false" outlineLevel="0" collapsed="false">
      <c r="D28" s="41"/>
      <c r="E28" s="41"/>
      <c r="G28" s="41"/>
    </row>
    <row r="29" customFormat="false" ht="15" hidden="false" customHeight="false" outlineLevel="0" collapsed="false">
      <c r="D29" s="41"/>
      <c r="E29" s="41"/>
      <c r="G29" s="41"/>
    </row>
    <row r="30" customFormat="false" ht="15" hidden="false" customHeight="false" outlineLevel="0" collapsed="false">
      <c r="D30" s="41"/>
      <c r="E30" s="41"/>
      <c r="G30" s="41"/>
    </row>
    <row r="31" customFormat="false" ht="15" hidden="false" customHeight="false" outlineLevel="0" collapsed="false">
      <c r="D31" s="41"/>
      <c r="E31" s="41"/>
      <c r="G31" s="41"/>
    </row>
    <row r="32" customFormat="false" ht="15" hidden="false" customHeight="false" outlineLevel="0" collapsed="false">
      <c r="D32" s="41"/>
      <c r="E32" s="41"/>
      <c r="G32" s="41"/>
    </row>
    <row r="33" customFormat="false" ht="15" hidden="false" customHeight="false" outlineLevel="0" collapsed="false">
      <c r="D33" s="41"/>
      <c r="E33" s="41"/>
      <c r="G33" s="41"/>
    </row>
    <row r="34" customFormat="false" ht="15" hidden="false" customHeight="false" outlineLevel="0" collapsed="false">
      <c r="D34" s="41"/>
      <c r="E34" s="41"/>
      <c r="G34" s="41"/>
    </row>
    <row r="35" customFormat="false" ht="15" hidden="false" customHeight="false" outlineLevel="0" collapsed="false">
      <c r="D35" s="41"/>
      <c r="E35" s="41"/>
      <c r="G35" s="41"/>
    </row>
    <row r="36" customFormat="false" ht="15" hidden="false" customHeight="false" outlineLevel="0" collapsed="false">
      <c r="D36" s="41"/>
      <c r="E36" s="41"/>
      <c r="G36" s="41"/>
    </row>
    <row r="37" customFormat="false" ht="15" hidden="false" customHeight="false" outlineLevel="0" collapsed="false">
      <c r="D37" s="41"/>
      <c r="E37" s="41"/>
      <c r="G37" s="41"/>
    </row>
    <row r="38" customFormat="false" ht="15" hidden="false" customHeight="false" outlineLevel="0" collapsed="false">
      <c r="D38" s="41"/>
      <c r="E38" s="41"/>
      <c r="G38" s="41"/>
    </row>
    <row r="39" customFormat="false" ht="15" hidden="false" customHeight="false" outlineLevel="0" collapsed="false">
      <c r="D39" s="41"/>
      <c r="E39" s="41"/>
      <c r="G39" s="41"/>
    </row>
    <row r="40" customFormat="false" ht="15" hidden="false" customHeight="false" outlineLevel="0" collapsed="false">
      <c r="D40" s="41"/>
      <c r="E40" s="41"/>
      <c r="G40" s="41"/>
    </row>
    <row r="41" customFormat="false" ht="15" hidden="false" customHeight="false" outlineLevel="0" collapsed="false">
      <c r="D41" s="41"/>
      <c r="E41" s="41"/>
      <c r="G41" s="41"/>
    </row>
    <row r="42" customFormat="false" ht="15" hidden="false" customHeight="false" outlineLevel="0" collapsed="false">
      <c r="D42" s="41"/>
      <c r="E42" s="41"/>
      <c r="G42" s="41"/>
    </row>
    <row r="43" customFormat="false" ht="15" hidden="false" customHeight="false" outlineLevel="0" collapsed="false">
      <c r="D43" s="41"/>
      <c r="E43" s="41"/>
      <c r="G43" s="41"/>
    </row>
    <row r="44" customFormat="false" ht="15" hidden="false" customHeight="false" outlineLevel="0" collapsed="false">
      <c r="D44" s="41"/>
      <c r="E44" s="41"/>
      <c r="G44" s="41"/>
    </row>
    <row r="45" customFormat="false" ht="15" hidden="false" customHeight="false" outlineLevel="0" collapsed="false">
      <c r="D45" s="41"/>
      <c r="E45" s="41"/>
      <c r="G45" s="41"/>
    </row>
    <row r="46" customFormat="false" ht="15" hidden="false" customHeight="false" outlineLevel="0" collapsed="false">
      <c r="D46" s="41"/>
      <c r="E46" s="41"/>
      <c r="G46" s="41"/>
    </row>
    <row r="47" customFormat="false" ht="15" hidden="false" customHeight="false" outlineLevel="0" collapsed="false">
      <c r="D47" s="41"/>
      <c r="E47" s="41"/>
      <c r="G47" s="41"/>
    </row>
    <row r="48" customFormat="false" ht="15" hidden="false" customHeight="false" outlineLevel="0" collapsed="false">
      <c r="D48" s="41"/>
      <c r="E48" s="41"/>
      <c r="G48" s="41"/>
    </row>
    <row r="49" customFormat="false" ht="15" hidden="false" customHeight="false" outlineLevel="0" collapsed="false">
      <c r="D49" s="41"/>
      <c r="E49" s="41"/>
      <c r="G49" s="41"/>
    </row>
    <row r="50" customFormat="false" ht="15" hidden="false" customHeight="false" outlineLevel="0" collapsed="false">
      <c r="D50" s="41"/>
      <c r="E50" s="41"/>
      <c r="G50" s="41"/>
    </row>
    <row r="51" customFormat="false" ht="15" hidden="false" customHeight="false" outlineLevel="0" collapsed="false">
      <c r="D51" s="41"/>
      <c r="E51" s="41"/>
      <c r="G51" s="41"/>
    </row>
    <row r="52" customFormat="false" ht="15" hidden="false" customHeight="false" outlineLevel="0" collapsed="false">
      <c r="D52" s="41"/>
      <c r="E52" s="41"/>
      <c r="G52" s="41"/>
    </row>
    <row r="53" customFormat="false" ht="15" hidden="false" customHeight="false" outlineLevel="0" collapsed="false">
      <c r="D53" s="41"/>
      <c r="E53" s="41"/>
      <c r="G53" s="41"/>
    </row>
    <row r="54" customFormat="false" ht="15" hidden="false" customHeight="false" outlineLevel="0" collapsed="false">
      <c r="D54" s="41"/>
      <c r="E54" s="41"/>
      <c r="G54" s="41"/>
    </row>
    <row r="55" customFormat="false" ht="15" hidden="false" customHeight="false" outlineLevel="0" collapsed="false">
      <c r="D55" s="41"/>
      <c r="E55" s="41"/>
      <c r="G55" s="41"/>
    </row>
    <row r="56" customFormat="false" ht="15" hidden="false" customHeight="false" outlineLevel="0" collapsed="false">
      <c r="D56" s="41"/>
      <c r="E56" s="41"/>
      <c r="G56" s="41"/>
    </row>
    <row r="57" customFormat="false" ht="15" hidden="false" customHeight="false" outlineLevel="0" collapsed="false">
      <c r="D57" s="41"/>
      <c r="E57" s="41"/>
      <c r="G57" s="41"/>
    </row>
    <row r="58" customFormat="false" ht="15" hidden="false" customHeight="false" outlineLevel="0" collapsed="false">
      <c r="D58" s="41"/>
      <c r="E58" s="41"/>
      <c r="G58" s="41"/>
    </row>
    <row r="59" customFormat="false" ht="15" hidden="false" customHeight="false" outlineLevel="0" collapsed="false">
      <c r="D59" s="41"/>
      <c r="E59" s="41"/>
      <c r="G59" s="41"/>
    </row>
    <row r="60" customFormat="false" ht="15" hidden="false" customHeight="false" outlineLevel="0" collapsed="false">
      <c r="D60" s="41"/>
      <c r="E60" s="41"/>
      <c r="G60" s="41"/>
    </row>
    <row r="61" customFormat="false" ht="15" hidden="false" customHeight="false" outlineLevel="0" collapsed="false">
      <c r="D61" s="41"/>
      <c r="E61" s="41"/>
      <c r="G61" s="41"/>
    </row>
    <row r="62" customFormat="false" ht="15" hidden="false" customHeight="false" outlineLevel="0" collapsed="false">
      <c r="D62" s="41"/>
      <c r="E62" s="41"/>
      <c r="G62" s="41"/>
    </row>
    <row r="63" customFormat="false" ht="15" hidden="false" customHeight="false" outlineLevel="0" collapsed="false">
      <c r="D63" s="41"/>
      <c r="E63" s="41"/>
      <c r="G63" s="41"/>
    </row>
    <row r="64" customFormat="false" ht="15" hidden="false" customHeight="false" outlineLevel="0" collapsed="false">
      <c r="D64" s="41"/>
      <c r="E64" s="41"/>
      <c r="G64" s="41"/>
    </row>
    <row r="65" customFormat="false" ht="15" hidden="false" customHeight="false" outlineLevel="0" collapsed="false">
      <c r="D65" s="41"/>
      <c r="E65" s="41"/>
      <c r="G65" s="41"/>
    </row>
    <row r="66" customFormat="false" ht="15" hidden="false" customHeight="false" outlineLevel="0" collapsed="false">
      <c r="D66" s="41"/>
      <c r="E66" s="41"/>
      <c r="G66" s="41"/>
    </row>
    <row r="67" customFormat="false" ht="15" hidden="false" customHeight="false" outlineLevel="0" collapsed="false">
      <c r="D67" s="41"/>
      <c r="E67" s="41"/>
      <c r="G67" s="41"/>
    </row>
    <row r="68" customFormat="false" ht="15" hidden="false" customHeight="false" outlineLevel="0" collapsed="false">
      <c r="D68" s="41"/>
      <c r="E68" s="41"/>
      <c r="G68" s="41"/>
    </row>
    <row r="69" customFormat="false" ht="15" hidden="false" customHeight="false" outlineLevel="0" collapsed="false">
      <c r="D69" s="41"/>
      <c r="E69" s="41"/>
      <c r="G69" s="41"/>
    </row>
    <row r="70" customFormat="false" ht="15" hidden="false" customHeight="false" outlineLevel="0" collapsed="false">
      <c r="D70" s="41"/>
      <c r="E70" s="41"/>
      <c r="G70" s="41"/>
    </row>
    <row r="71" customFormat="false" ht="15" hidden="false" customHeight="false" outlineLevel="0" collapsed="false">
      <c r="D71" s="41"/>
      <c r="E71" s="41"/>
      <c r="G71" s="41"/>
    </row>
    <row r="72" customFormat="false" ht="15" hidden="false" customHeight="false" outlineLevel="0" collapsed="false">
      <c r="D72" s="41"/>
      <c r="E72" s="41"/>
      <c r="G72" s="41"/>
    </row>
    <row r="73" customFormat="false" ht="15" hidden="false" customHeight="false" outlineLevel="0" collapsed="false">
      <c r="D73" s="41"/>
      <c r="E73" s="41"/>
      <c r="G73" s="41"/>
    </row>
    <row r="74" customFormat="false" ht="15" hidden="false" customHeight="false" outlineLevel="0" collapsed="false">
      <c r="D74" s="41"/>
      <c r="E74" s="41"/>
      <c r="G74" s="41"/>
    </row>
    <row r="75" customFormat="false" ht="15" hidden="false" customHeight="false" outlineLevel="0" collapsed="false">
      <c r="D75" s="41"/>
      <c r="E75" s="41"/>
      <c r="G75" s="41"/>
    </row>
    <row r="76" customFormat="false" ht="15" hidden="false" customHeight="false" outlineLevel="0" collapsed="false">
      <c r="D76" s="41"/>
      <c r="E76" s="41"/>
      <c r="G76" s="41"/>
    </row>
    <row r="77" customFormat="false" ht="15" hidden="false" customHeight="false" outlineLevel="0" collapsed="false">
      <c r="D77" s="41"/>
      <c r="E77" s="41"/>
      <c r="G77" s="41"/>
    </row>
    <row r="78" customFormat="false" ht="15" hidden="false" customHeight="false" outlineLevel="0" collapsed="false">
      <c r="D78" s="41"/>
      <c r="E78" s="41"/>
      <c r="G78" s="41"/>
    </row>
    <row r="79" customFormat="false" ht="15" hidden="false" customHeight="false" outlineLevel="0" collapsed="false">
      <c r="D79" s="41"/>
      <c r="E79" s="41"/>
      <c r="G79" s="41"/>
    </row>
    <row r="80" customFormat="false" ht="15" hidden="false" customHeight="false" outlineLevel="0" collapsed="false">
      <c r="D80" s="41"/>
      <c r="E80" s="41"/>
      <c r="G80" s="41"/>
    </row>
    <row r="81" customFormat="false" ht="15" hidden="false" customHeight="false" outlineLevel="0" collapsed="false">
      <c r="D81" s="41"/>
      <c r="E81" s="41"/>
      <c r="G81" s="41"/>
    </row>
    <row r="82" customFormat="false" ht="15" hidden="false" customHeight="false" outlineLevel="0" collapsed="false">
      <c r="D82" s="41"/>
      <c r="E82" s="41"/>
      <c r="G82" s="41"/>
    </row>
    <row r="83" customFormat="false" ht="15" hidden="false" customHeight="false" outlineLevel="0" collapsed="false">
      <c r="D83" s="41"/>
      <c r="E83" s="41"/>
      <c r="G83" s="41"/>
    </row>
    <row r="84" customFormat="false" ht="15" hidden="false" customHeight="false" outlineLevel="0" collapsed="false">
      <c r="D84" s="41"/>
      <c r="E84" s="41"/>
      <c r="G84" s="41"/>
    </row>
    <row r="85" customFormat="false" ht="15" hidden="false" customHeight="false" outlineLevel="0" collapsed="false">
      <c r="D85" s="41"/>
      <c r="E85" s="41"/>
      <c r="G85" s="41"/>
    </row>
    <row r="86" customFormat="false" ht="15" hidden="false" customHeight="false" outlineLevel="0" collapsed="false">
      <c r="D86" s="41"/>
      <c r="E86" s="41"/>
      <c r="G86" s="41"/>
    </row>
    <row r="87" customFormat="false" ht="15" hidden="false" customHeight="false" outlineLevel="0" collapsed="false">
      <c r="D87" s="41"/>
      <c r="E87" s="41"/>
      <c r="G87" s="41"/>
    </row>
    <row r="88" customFormat="false" ht="15" hidden="false" customHeight="false" outlineLevel="0" collapsed="false">
      <c r="D88" s="41"/>
      <c r="E88" s="41"/>
      <c r="G88" s="41"/>
    </row>
    <row r="89" customFormat="false" ht="15" hidden="false" customHeight="false" outlineLevel="0" collapsed="false">
      <c r="D89" s="41"/>
      <c r="E89" s="41"/>
      <c r="G89" s="41"/>
    </row>
    <row r="90" customFormat="false" ht="15" hidden="false" customHeight="false" outlineLevel="0" collapsed="false">
      <c r="D90" s="41"/>
      <c r="E90" s="41"/>
      <c r="G90" s="41"/>
    </row>
    <row r="91" customFormat="false" ht="15" hidden="false" customHeight="false" outlineLevel="0" collapsed="false">
      <c r="D91" s="41"/>
      <c r="E91" s="41"/>
      <c r="G91" s="41"/>
    </row>
    <row r="92" customFormat="false" ht="15" hidden="false" customHeight="false" outlineLevel="0" collapsed="false">
      <c r="D92" s="41"/>
      <c r="E92" s="41"/>
      <c r="G92" s="41"/>
    </row>
    <row r="93" customFormat="false" ht="15" hidden="false" customHeight="false" outlineLevel="0" collapsed="false">
      <c r="D93" s="41"/>
      <c r="E93" s="41"/>
      <c r="G93" s="41"/>
    </row>
    <row r="94" customFormat="false" ht="15" hidden="false" customHeight="false" outlineLevel="0" collapsed="false">
      <c r="D94" s="41"/>
      <c r="E94" s="41"/>
      <c r="G94" s="41"/>
    </row>
    <row r="95" customFormat="false" ht="15" hidden="false" customHeight="false" outlineLevel="0" collapsed="false">
      <c r="D95" s="41"/>
      <c r="E95" s="41"/>
      <c r="G95" s="41"/>
    </row>
    <row r="96" customFormat="false" ht="15" hidden="false" customHeight="false" outlineLevel="0" collapsed="false">
      <c r="D96" s="41"/>
      <c r="E96" s="41"/>
      <c r="G96" s="41"/>
    </row>
    <row r="97" customFormat="false" ht="15" hidden="false" customHeight="false" outlineLevel="0" collapsed="false">
      <c r="D97" s="41"/>
      <c r="E97" s="41"/>
      <c r="G97" s="41"/>
    </row>
    <row r="98" customFormat="false" ht="15" hidden="false" customHeight="false" outlineLevel="0" collapsed="false">
      <c r="D98" s="41"/>
      <c r="E98" s="41"/>
      <c r="G98" s="41"/>
    </row>
    <row r="99" customFormat="false" ht="15" hidden="false" customHeight="false" outlineLevel="0" collapsed="false">
      <c r="D99" s="41"/>
      <c r="E99" s="41"/>
      <c r="G99" s="41"/>
    </row>
    <row r="100" customFormat="false" ht="15" hidden="false" customHeight="false" outlineLevel="0" collapsed="false">
      <c r="D100" s="41"/>
      <c r="E100" s="41"/>
      <c r="G100" s="41"/>
    </row>
    <row r="101" customFormat="false" ht="15" hidden="false" customHeight="false" outlineLevel="0" collapsed="false">
      <c r="D101" s="41"/>
      <c r="E101" s="41"/>
      <c r="G101" s="41"/>
    </row>
    <row r="102" customFormat="false" ht="15" hidden="false" customHeight="false" outlineLevel="0" collapsed="false">
      <c r="D102" s="41"/>
      <c r="E102" s="41"/>
      <c r="G102" s="41"/>
    </row>
    <row r="103" customFormat="false" ht="15" hidden="false" customHeight="false" outlineLevel="0" collapsed="false">
      <c r="D103" s="41"/>
      <c r="E103" s="41"/>
      <c r="G103" s="41"/>
    </row>
    <row r="104" customFormat="false" ht="15" hidden="false" customHeight="false" outlineLevel="0" collapsed="false">
      <c r="D104" s="41"/>
      <c r="E104" s="41"/>
      <c r="G104" s="41"/>
    </row>
    <row r="105" customFormat="false" ht="15" hidden="false" customHeight="false" outlineLevel="0" collapsed="false">
      <c r="D105" s="41"/>
      <c r="E105" s="41"/>
      <c r="G105" s="41"/>
    </row>
    <row r="106" customFormat="false" ht="15" hidden="false" customHeight="false" outlineLevel="0" collapsed="false">
      <c r="D106" s="41"/>
      <c r="E106" s="41"/>
      <c r="G106" s="41"/>
    </row>
    <row r="107" customFormat="false" ht="15" hidden="false" customHeight="false" outlineLevel="0" collapsed="false">
      <c r="D107" s="41"/>
      <c r="E107" s="41"/>
      <c r="G107" s="41"/>
    </row>
    <row r="108" customFormat="false" ht="15" hidden="false" customHeight="false" outlineLevel="0" collapsed="false">
      <c r="D108" s="41"/>
      <c r="E108" s="41"/>
      <c r="G108" s="41"/>
    </row>
    <row r="109" customFormat="false" ht="15" hidden="false" customHeight="false" outlineLevel="0" collapsed="false">
      <c r="D109" s="41"/>
      <c r="E109" s="41"/>
      <c r="G109" s="41"/>
    </row>
    <row r="110" customFormat="false" ht="15" hidden="false" customHeight="false" outlineLevel="0" collapsed="false">
      <c r="D110" s="41"/>
      <c r="E110" s="41"/>
      <c r="G110" s="41"/>
    </row>
    <row r="111" customFormat="false" ht="15" hidden="false" customHeight="false" outlineLevel="0" collapsed="false">
      <c r="D111" s="41"/>
      <c r="E111" s="41"/>
      <c r="G111" s="41"/>
    </row>
    <row r="112" customFormat="false" ht="15" hidden="false" customHeight="false" outlineLevel="0" collapsed="false">
      <c r="D112" s="41"/>
      <c r="E112" s="41"/>
      <c r="G112" s="41"/>
    </row>
    <row r="113" customFormat="false" ht="15" hidden="false" customHeight="false" outlineLevel="0" collapsed="false">
      <c r="D113" s="41"/>
      <c r="E113" s="41"/>
      <c r="G113" s="41"/>
    </row>
    <row r="114" customFormat="false" ht="15" hidden="false" customHeight="false" outlineLevel="0" collapsed="false">
      <c r="D114" s="41"/>
      <c r="E114" s="41"/>
      <c r="G114" s="41"/>
    </row>
    <row r="115" customFormat="false" ht="15" hidden="false" customHeight="false" outlineLevel="0" collapsed="false">
      <c r="D115" s="41"/>
      <c r="E115" s="41"/>
      <c r="G115" s="41"/>
    </row>
    <row r="116" customFormat="false" ht="15" hidden="false" customHeight="false" outlineLevel="0" collapsed="false">
      <c r="D116" s="41"/>
      <c r="E116" s="41"/>
      <c r="G116" s="41"/>
    </row>
    <row r="117" customFormat="false" ht="15" hidden="false" customHeight="false" outlineLevel="0" collapsed="false">
      <c r="D117" s="41"/>
      <c r="E117" s="41"/>
      <c r="G117" s="41"/>
    </row>
    <row r="118" customFormat="false" ht="15" hidden="false" customHeight="false" outlineLevel="0" collapsed="false">
      <c r="D118" s="41"/>
      <c r="E118" s="41"/>
      <c r="G118" s="41"/>
    </row>
    <row r="119" customFormat="false" ht="15" hidden="false" customHeight="false" outlineLevel="0" collapsed="false">
      <c r="D119" s="41"/>
      <c r="E119" s="41"/>
      <c r="G119" s="41"/>
    </row>
    <row r="120" customFormat="false" ht="15" hidden="false" customHeight="false" outlineLevel="0" collapsed="false">
      <c r="D120" s="41"/>
      <c r="E120" s="41"/>
      <c r="G120" s="41"/>
    </row>
    <row r="121" customFormat="false" ht="15" hidden="false" customHeight="false" outlineLevel="0" collapsed="false">
      <c r="D121" s="41"/>
      <c r="E121" s="41"/>
      <c r="G121" s="41"/>
    </row>
    <row r="122" customFormat="false" ht="15" hidden="false" customHeight="false" outlineLevel="0" collapsed="false">
      <c r="D122" s="41"/>
      <c r="E122" s="41"/>
      <c r="G122" s="41"/>
    </row>
    <row r="123" customFormat="false" ht="15" hidden="false" customHeight="false" outlineLevel="0" collapsed="false">
      <c r="D123" s="41"/>
      <c r="E123" s="41"/>
      <c r="G123" s="41"/>
    </row>
    <row r="124" customFormat="false" ht="15" hidden="false" customHeight="false" outlineLevel="0" collapsed="false">
      <c r="D124" s="41"/>
      <c r="E124" s="41"/>
      <c r="G124" s="41"/>
    </row>
    <row r="125" customFormat="false" ht="15" hidden="false" customHeight="false" outlineLevel="0" collapsed="false">
      <c r="D125" s="41"/>
      <c r="E125" s="41"/>
      <c r="G125" s="41"/>
    </row>
    <row r="126" customFormat="false" ht="15" hidden="false" customHeight="false" outlineLevel="0" collapsed="false">
      <c r="D126" s="41"/>
      <c r="E126" s="41"/>
      <c r="G126" s="41"/>
    </row>
    <row r="127" customFormat="false" ht="15" hidden="false" customHeight="false" outlineLevel="0" collapsed="false">
      <c r="D127" s="41"/>
      <c r="E127" s="41"/>
      <c r="G127" s="41"/>
    </row>
    <row r="128" customFormat="false" ht="15" hidden="false" customHeight="false" outlineLevel="0" collapsed="false">
      <c r="D128" s="41"/>
      <c r="E128" s="41"/>
      <c r="G128" s="41"/>
    </row>
    <row r="129" customFormat="false" ht="15" hidden="false" customHeight="false" outlineLevel="0" collapsed="false">
      <c r="D129" s="41"/>
      <c r="E129" s="41"/>
      <c r="G129" s="41"/>
    </row>
    <row r="130" customFormat="false" ht="15" hidden="false" customHeight="false" outlineLevel="0" collapsed="false">
      <c r="D130" s="41"/>
      <c r="E130" s="41"/>
      <c r="G130" s="41"/>
    </row>
    <row r="131" customFormat="false" ht="15" hidden="false" customHeight="false" outlineLevel="0" collapsed="false">
      <c r="D131" s="41"/>
      <c r="E131" s="41"/>
      <c r="G131" s="41"/>
    </row>
    <row r="132" customFormat="false" ht="15" hidden="false" customHeight="false" outlineLevel="0" collapsed="false">
      <c r="D132" s="41"/>
      <c r="E132" s="41"/>
      <c r="G132" s="41"/>
    </row>
    <row r="133" customFormat="false" ht="15" hidden="false" customHeight="false" outlineLevel="0" collapsed="false">
      <c r="D133" s="41"/>
      <c r="E133" s="41"/>
      <c r="G133" s="41"/>
    </row>
    <row r="134" customFormat="false" ht="15" hidden="false" customHeight="false" outlineLevel="0" collapsed="false">
      <c r="D134" s="41"/>
      <c r="E134" s="41"/>
      <c r="G134" s="41"/>
    </row>
    <row r="135" customFormat="false" ht="15" hidden="false" customHeight="false" outlineLevel="0" collapsed="false">
      <c r="D135" s="41"/>
      <c r="E135" s="41"/>
      <c r="G135" s="41"/>
    </row>
    <row r="136" customFormat="false" ht="15" hidden="false" customHeight="false" outlineLevel="0" collapsed="false">
      <c r="D136" s="41"/>
      <c r="E136" s="41"/>
      <c r="G136" s="41"/>
    </row>
    <row r="137" customFormat="false" ht="15" hidden="false" customHeight="false" outlineLevel="0" collapsed="false">
      <c r="D137" s="41"/>
      <c r="E137" s="41"/>
      <c r="G137" s="41"/>
    </row>
    <row r="138" customFormat="false" ht="15" hidden="false" customHeight="false" outlineLevel="0" collapsed="false">
      <c r="D138" s="41"/>
      <c r="E138" s="41"/>
      <c r="G138" s="41"/>
    </row>
    <row r="139" customFormat="false" ht="15" hidden="false" customHeight="false" outlineLevel="0" collapsed="false">
      <c r="D139" s="41"/>
      <c r="E139" s="41"/>
      <c r="G139" s="41"/>
    </row>
    <row r="140" customFormat="false" ht="15" hidden="false" customHeight="false" outlineLevel="0" collapsed="false">
      <c r="D140" s="41"/>
      <c r="E140" s="41"/>
      <c r="G140" s="41"/>
    </row>
    <row r="141" customFormat="false" ht="15" hidden="false" customHeight="false" outlineLevel="0" collapsed="false">
      <c r="D141" s="41"/>
      <c r="E141" s="41"/>
      <c r="G141" s="41"/>
    </row>
    <row r="142" customFormat="false" ht="15" hidden="false" customHeight="false" outlineLevel="0" collapsed="false">
      <c r="D142" s="41"/>
      <c r="E142" s="41"/>
      <c r="G142" s="41"/>
    </row>
    <row r="143" customFormat="false" ht="15" hidden="false" customHeight="false" outlineLevel="0" collapsed="false">
      <c r="D143" s="41"/>
      <c r="E143" s="41"/>
      <c r="G143" s="41"/>
    </row>
    <row r="144" customFormat="false" ht="15" hidden="false" customHeight="false" outlineLevel="0" collapsed="false">
      <c r="D144" s="41"/>
      <c r="E144" s="41"/>
      <c r="G144" s="41"/>
    </row>
    <row r="145" customFormat="false" ht="15" hidden="false" customHeight="false" outlineLevel="0" collapsed="false">
      <c r="D145" s="41"/>
      <c r="E145" s="41"/>
      <c r="G145" s="41"/>
    </row>
    <row r="146" customFormat="false" ht="15" hidden="false" customHeight="false" outlineLevel="0" collapsed="false">
      <c r="D146" s="41"/>
      <c r="E146" s="41"/>
      <c r="G146" s="41"/>
    </row>
    <row r="147" customFormat="false" ht="15" hidden="false" customHeight="false" outlineLevel="0" collapsed="false">
      <c r="D147" s="41"/>
      <c r="E147" s="41"/>
      <c r="G147" s="41"/>
    </row>
    <row r="148" customFormat="false" ht="15" hidden="false" customHeight="false" outlineLevel="0" collapsed="false">
      <c r="D148" s="41"/>
      <c r="E148" s="41"/>
      <c r="G148" s="41"/>
    </row>
    <row r="149" customFormat="false" ht="15" hidden="false" customHeight="false" outlineLevel="0" collapsed="false">
      <c r="D149" s="41"/>
      <c r="E149" s="41"/>
      <c r="G149" s="41"/>
    </row>
    <row r="150" customFormat="false" ht="15" hidden="false" customHeight="false" outlineLevel="0" collapsed="false">
      <c r="D150" s="41"/>
      <c r="E150" s="41"/>
      <c r="G150" s="41"/>
    </row>
    <row r="151" customFormat="false" ht="15" hidden="false" customHeight="false" outlineLevel="0" collapsed="false">
      <c r="D151" s="41"/>
      <c r="E151" s="41"/>
      <c r="G151" s="41"/>
    </row>
    <row r="152" customFormat="false" ht="15" hidden="false" customHeight="false" outlineLevel="0" collapsed="false">
      <c r="D152" s="41"/>
      <c r="E152" s="41"/>
      <c r="G152" s="41"/>
    </row>
    <row r="153" customFormat="false" ht="15" hidden="false" customHeight="false" outlineLevel="0" collapsed="false">
      <c r="D153" s="41"/>
      <c r="E153" s="41"/>
      <c r="G153" s="41"/>
    </row>
    <row r="154" customFormat="false" ht="15" hidden="false" customHeight="false" outlineLevel="0" collapsed="false">
      <c r="D154" s="41"/>
      <c r="E154" s="41"/>
      <c r="G154" s="41"/>
    </row>
    <row r="155" customFormat="false" ht="15" hidden="false" customHeight="false" outlineLevel="0" collapsed="false">
      <c r="D155" s="41"/>
      <c r="E155" s="41"/>
      <c r="G155" s="41"/>
    </row>
    <row r="156" customFormat="false" ht="15" hidden="false" customHeight="false" outlineLevel="0" collapsed="false">
      <c r="D156" s="41"/>
      <c r="E156" s="41"/>
      <c r="G156" s="41"/>
    </row>
    <row r="157" customFormat="false" ht="15" hidden="false" customHeight="false" outlineLevel="0" collapsed="false">
      <c r="D157" s="41"/>
      <c r="E157" s="41"/>
      <c r="G157" s="41"/>
    </row>
    <row r="158" customFormat="false" ht="15" hidden="false" customHeight="false" outlineLevel="0" collapsed="false">
      <c r="D158" s="41"/>
      <c r="E158" s="41"/>
      <c r="G158" s="41"/>
    </row>
    <row r="159" customFormat="false" ht="15" hidden="false" customHeight="false" outlineLevel="0" collapsed="false">
      <c r="D159" s="41"/>
      <c r="E159" s="41"/>
      <c r="G159" s="41"/>
    </row>
    <row r="160" customFormat="false" ht="15" hidden="false" customHeight="false" outlineLevel="0" collapsed="false">
      <c r="D160" s="41"/>
      <c r="E160" s="41"/>
      <c r="G160" s="41"/>
    </row>
    <row r="161" customFormat="false" ht="15" hidden="false" customHeight="false" outlineLevel="0" collapsed="false">
      <c r="D161" s="41"/>
      <c r="E161" s="41"/>
      <c r="G161" s="41"/>
    </row>
    <row r="162" customFormat="false" ht="15" hidden="false" customHeight="false" outlineLevel="0" collapsed="false">
      <c r="D162" s="41"/>
      <c r="E162" s="41"/>
      <c r="G162" s="41"/>
    </row>
    <row r="163" customFormat="false" ht="15" hidden="false" customHeight="false" outlineLevel="0" collapsed="false">
      <c r="D163" s="41"/>
      <c r="E163" s="41"/>
      <c r="G163" s="41"/>
    </row>
    <row r="164" customFormat="false" ht="15" hidden="false" customHeight="false" outlineLevel="0" collapsed="false">
      <c r="D164" s="41"/>
      <c r="E164" s="41"/>
      <c r="G164" s="41"/>
    </row>
    <row r="165" customFormat="false" ht="15" hidden="false" customHeight="false" outlineLevel="0" collapsed="false">
      <c r="D165" s="41"/>
      <c r="E165" s="41"/>
      <c r="G165" s="41"/>
    </row>
    <row r="166" customFormat="false" ht="15" hidden="false" customHeight="false" outlineLevel="0" collapsed="false">
      <c r="D166" s="41"/>
      <c r="E166" s="41"/>
      <c r="G166" s="41"/>
    </row>
    <row r="167" customFormat="false" ht="15" hidden="false" customHeight="false" outlineLevel="0" collapsed="false">
      <c r="D167" s="41"/>
      <c r="E167" s="41"/>
      <c r="G167" s="41"/>
    </row>
    <row r="168" customFormat="false" ht="15" hidden="false" customHeight="false" outlineLevel="0" collapsed="false">
      <c r="D168" s="41"/>
      <c r="E168" s="41"/>
      <c r="G168" s="41"/>
    </row>
    <row r="169" customFormat="false" ht="15" hidden="false" customHeight="false" outlineLevel="0" collapsed="false">
      <c r="D169" s="41"/>
      <c r="E169" s="41"/>
      <c r="G169" s="41"/>
    </row>
    <row r="170" customFormat="false" ht="15" hidden="false" customHeight="false" outlineLevel="0" collapsed="false">
      <c r="D170" s="41"/>
      <c r="E170" s="41"/>
      <c r="G170" s="41"/>
    </row>
    <row r="171" customFormat="false" ht="15" hidden="false" customHeight="false" outlineLevel="0" collapsed="false">
      <c r="D171" s="41"/>
      <c r="E171" s="41"/>
      <c r="G171" s="41"/>
    </row>
    <row r="172" customFormat="false" ht="15" hidden="false" customHeight="false" outlineLevel="0" collapsed="false">
      <c r="D172" s="41"/>
      <c r="E172" s="41"/>
      <c r="G172" s="41"/>
    </row>
    <row r="173" customFormat="false" ht="15" hidden="false" customHeight="false" outlineLevel="0" collapsed="false">
      <c r="D173" s="41"/>
      <c r="E173" s="41"/>
      <c r="G173" s="41"/>
    </row>
    <row r="174" customFormat="false" ht="15" hidden="false" customHeight="false" outlineLevel="0" collapsed="false">
      <c r="D174" s="41"/>
      <c r="E174" s="41"/>
      <c r="G174" s="41"/>
    </row>
    <row r="175" customFormat="false" ht="15" hidden="false" customHeight="false" outlineLevel="0" collapsed="false">
      <c r="D175" s="41"/>
      <c r="E175" s="41"/>
      <c r="G175" s="41"/>
    </row>
    <row r="176" customFormat="false" ht="15" hidden="false" customHeight="false" outlineLevel="0" collapsed="false">
      <c r="D176" s="41"/>
      <c r="E176" s="41"/>
      <c r="G176" s="41"/>
    </row>
    <row r="177" customFormat="false" ht="15" hidden="false" customHeight="false" outlineLevel="0" collapsed="false">
      <c r="D177" s="41"/>
      <c r="E177" s="41"/>
      <c r="G177" s="41"/>
    </row>
    <row r="178" customFormat="false" ht="15" hidden="false" customHeight="false" outlineLevel="0" collapsed="false">
      <c r="D178" s="41"/>
      <c r="E178" s="41"/>
      <c r="G178" s="41"/>
    </row>
    <row r="179" customFormat="false" ht="15" hidden="false" customHeight="false" outlineLevel="0" collapsed="false">
      <c r="D179" s="41"/>
      <c r="E179" s="41"/>
      <c r="G179" s="41"/>
    </row>
    <row r="180" customFormat="false" ht="15" hidden="false" customHeight="false" outlineLevel="0" collapsed="false">
      <c r="D180" s="41"/>
      <c r="E180" s="41"/>
      <c r="G180" s="41"/>
    </row>
    <row r="181" customFormat="false" ht="15" hidden="false" customHeight="false" outlineLevel="0" collapsed="false">
      <c r="D181" s="41"/>
      <c r="E181" s="41"/>
      <c r="G181" s="41"/>
    </row>
    <row r="182" customFormat="false" ht="15" hidden="false" customHeight="false" outlineLevel="0" collapsed="false">
      <c r="D182" s="41"/>
      <c r="E182" s="41"/>
      <c r="G182" s="41"/>
    </row>
    <row r="183" customFormat="false" ht="15" hidden="false" customHeight="false" outlineLevel="0" collapsed="false">
      <c r="D183" s="41"/>
      <c r="E183" s="41"/>
      <c r="G183" s="41"/>
    </row>
    <row r="184" customFormat="false" ht="15" hidden="false" customHeight="false" outlineLevel="0" collapsed="false">
      <c r="D184" s="41"/>
      <c r="E184" s="41"/>
      <c r="G184" s="41"/>
    </row>
    <row r="185" customFormat="false" ht="15" hidden="false" customHeight="false" outlineLevel="0" collapsed="false">
      <c r="D185" s="41"/>
      <c r="E185" s="41"/>
      <c r="G185" s="41"/>
    </row>
    <row r="186" customFormat="false" ht="15" hidden="false" customHeight="false" outlineLevel="0" collapsed="false">
      <c r="D186" s="41"/>
      <c r="E186" s="41"/>
      <c r="G186" s="41"/>
    </row>
    <row r="187" customFormat="false" ht="15" hidden="false" customHeight="false" outlineLevel="0" collapsed="false">
      <c r="D187" s="41"/>
      <c r="E187" s="41"/>
      <c r="G187" s="41"/>
    </row>
    <row r="188" customFormat="false" ht="15" hidden="false" customHeight="false" outlineLevel="0" collapsed="false">
      <c r="D188" s="41"/>
      <c r="E188" s="41"/>
      <c r="G188" s="41"/>
    </row>
    <row r="189" customFormat="false" ht="15" hidden="false" customHeight="false" outlineLevel="0" collapsed="false">
      <c r="D189" s="41"/>
      <c r="E189" s="41"/>
      <c r="G189" s="41"/>
    </row>
    <row r="190" customFormat="false" ht="15" hidden="false" customHeight="false" outlineLevel="0" collapsed="false">
      <c r="D190" s="41"/>
      <c r="E190" s="41"/>
      <c r="G190" s="41"/>
    </row>
    <row r="191" customFormat="false" ht="15" hidden="false" customHeight="false" outlineLevel="0" collapsed="false">
      <c r="D191" s="41"/>
      <c r="E191" s="41"/>
      <c r="G191" s="41"/>
    </row>
    <row r="192" customFormat="false" ht="15" hidden="false" customHeight="false" outlineLevel="0" collapsed="false">
      <c r="D192" s="41"/>
      <c r="E192" s="41"/>
      <c r="G192" s="41"/>
    </row>
    <row r="193" customFormat="false" ht="15" hidden="false" customHeight="false" outlineLevel="0" collapsed="false">
      <c r="D193" s="41"/>
      <c r="E193" s="41"/>
      <c r="G193" s="41"/>
    </row>
    <row r="194" customFormat="false" ht="15" hidden="false" customHeight="false" outlineLevel="0" collapsed="false">
      <c r="D194" s="41"/>
      <c r="E194" s="41"/>
      <c r="G194" s="41"/>
    </row>
    <row r="195" customFormat="false" ht="15" hidden="false" customHeight="false" outlineLevel="0" collapsed="false">
      <c r="D195" s="41"/>
      <c r="E195" s="41"/>
      <c r="G195" s="41"/>
    </row>
    <row r="196" customFormat="false" ht="15" hidden="false" customHeight="false" outlineLevel="0" collapsed="false">
      <c r="D196" s="41"/>
      <c r="E196" s="41"/>
      <c r="G196" s="41"/>
    </row>
    <row r="197" customFormat="false" ht="15" hidden="false" customHeight="false" outlineLevel="0" collapsed="false">
      <c r="D197" s="41"/>
      <c r="E197" s="41"/>
      <c r="G197" s="41"/>
    </row>
    <row r="198" customFormat="false" ht="15" hidden="false" customHeight="false" outlineLevel="0" collapsed="false">
      <c r="D198" s="41"/>
      <c r="E198" s="41"/>
      <c r="G198" s="41"/>
    </row>
    <row r="199" customFormat="false" ht="15" hidden="false" customHeight="false" outlineLevel="0" collapsed="false">
      <c r="D199" s="41"/>
      <c r="E199" s="41"/>
      <c r="G199" s="41"/>
    </row>
    <row r="200" customFormat="false" ht="15" hidden="false" customHeight="false" outlineLevel="0" collapsed="false">
      <c r="D200" s="41"/>
      <c r="E200" s="41"/>
      <c r="G200" s="41"/>
    </row>
    <row r="201" customFormat="false" ht="15" hidden="false" customHeight="false" outlineLevel="0" collapsed="false">
      <c r="D201" s="41"/>
      <c r="E201" s="41"/>
      <c r="G201" s="41"/>
    </row>
    <row r="202" customFormat="false" ht="15" hidden="false" customHeight="false" outlineLevel="0" collapsed="false">
      <c r="D202" s="41"/>
      <c r="E202" s="41"/>
      <c r="G202" s="41"/>
    </row>
    <row r="203" customFormat="false" ht="15" hidden="false" customHeight="false" outlineLevel="0" collapsed="false">
      <c r="D203" s="41"/>
      <c r="E203" s="41"/>
      <c r="G203" s="41"/>
    </row>
    <row r="204" customFormat="false" ht="15" hidden="false" customHeight="false" outlineLevel="0" collapsed="false">
      <c r="D204" s="41"/>
      <c r="E204" s="41"/>
      <c r="G204" s="41"/>
    </row>
    <row r="205" customFormat="false" ht="15" hidden="false" customHeight="false" outlineLevel="0" collapsed="false">
      <c r="D205" s="41"/>
      <c r="E205" s="41"/>
      <c r="G205" s="41"/>
    </row>
    <row r="206" customFormat="false" ht="15" hidden="false" customHeight="false" outlineLevel="0" collapsed="false">
      <c r="D206" s="41"/>
      <c r="E206" s="41"/>
      <c r="G206" s="41"/>
    </row>
    <row r="207" customFormat="false" ht="15" hidden="false" customHeight="false" outlineLevel="0" collapsed="false">
      <c r="D207" s="41"/>
      <c r="E207" s="41"/>
      <c r="G207" s="41"/>
    </row>
    <row r="208" customFormat="false" ht="15" hidden="false" customHeight="false" outlineLevel="0" collapsed="false">
      <c r="D208" s="41"/>
      <c r="E208" s="41"/>
      <c r="G208" s="41"/>
    </row>
    <row r="209" customFormat="false" ht="15" hidden="false" customHeight="false" outlineLevel="0" collapsed="false">
      <c r="D209" s="41"/>
      <c r="E209" s="41"/>
      <c r="G209" s="41"/>
    </row>
    <row r="210" customFormat="false" ht="15" hidden="false" customHeight="false" outlineLevel="0" collapsed="false">
      <c r="D210" s="41"/>
      <c r="E210" s="41"/>
      <c r="G210" s="41"/>
    </row>
    <row r="211" customFormat="false" ht="15" hidden="false" customHeight="false" outlineLevel="0" collapsed="false">
      <c r="D211" s="41"/>
      <c r="E211" s="41"/>
      <c r="G211" s="41"/>
    </row>
    <row r="212" customFormat="false" ht="15" hidden="false" customHeight="false" outlineLevel="0" collapsed="false">
      <c r="D212" s="41"/>
      <c r="E212" s="41"/>
      <c r="G212" s="41"/>
    </row>
    <row r="213" customFormat="false" ht="15" hidden="false" customHeight="false" outlineLevel="0" collapsed="false">
      <c r="D213" s="41"/>
      <c r="E213" s="41"/>
      <c r="G213" s="41"/>
    </row>
    <row r="214" customFormat="false" ht="15" hidden="false" customHeight="false" outlineLevel="0" collapsed="false">
      <c r="D214" s="41"/>
      <c r="E214" s="41"/>
      <c r="G214" s="41"/>
    </row>
    <row r="215" customFormat="false" ht="15" hidden="false" customHeight="false" outlineLevel="0" collapsed="false">
      <c r="D215" s="41"/>
      <c r="E215" s="41"/>
      <c r="G215" s="41"/>
    </row>
    <row r="216" customFormat="false" ht="15" hidden="false" customHeight="false" outlineLevel="0" collapsed="false">
      <c r="D216" s="41"/>
      <c r="E216" s="41"/>
      <c r="G216" s="41"/>
    </row>
    <row r="217" customFormat="false" ht="15" hidden="false" customHeight="false" outlineLevel="0" collapsed="false">
      <c r="D217" s="41"/>
      <c r="E217" s="41"/>
      <c r="G217" s="41"/>
    </row>
    <row r="218" customFormat="false" ht="15" hidden="false" customHeight="false" outlineLevel="0" collapsed="false">
      <c r="D218" s="41"/>
      <c r="E218" s="41"/>
      <c r="G218" s="41"/>
    </row>
    <row r="219" customFormat="false" ht="15" hidden="false" customHeight="false" outlineLevel="0" collapsed="false">
      <c r="D219" s="41"/>
      <c r="E219" s="41"/>
      <c r="G219" s="41"/>
    </row>
    <row r="220" customFormat="false" ht="15" hidden="false" customHeight="false" outlineLevel="0" collapsed="false">
      <c r="D220" s="41"/>
      <c r="E220" s="41"/>
      <c r="G220" s="41"/>
    </row>
    <row r="221" customFormat="false" ht="15" hidden="false" customHeight="false" outlineLevel="0" collapsed="false">
      <c r="D221" s="41"/>
      <c r="E221" s="41"/>
      <c r="G221" s="41"/>
    </row>
    <row r="222" customFormat="false" ht="15" hidden="false" customHeight="false" outlineLevel="0" collapsed="false">
      <c r="D222" s="41"/>
      <c r="E222" s="41"/>
      <c r="G222" s="41"/>
    </row>
    <row r="223" customFormat="false" ht="15" hidden="false" customHeight="false" outlineLevel="0" collapsed="false">
      <c r="D223" s="41"/>
      <c r="E223" s="41"/>
      <c r="G223" s="41"/>
    </row>
    <row r="224" customFormat="false" ht="15" hidden="false" customHeight="false" outlineLevel="0" collapsed="false">
      <c r="D224" s="41"/>
      <c r="E224" s="41"/>
      <c r="G224" s="41"/>
    </row>
    <row r="225" customFormat="false" ht="15" hidden="false" customHeight="false" outlineLevel="0" collapsed="false">
      <c r="D225" s="41"/>
      <c r="E225" s="41"/>
      <c r="G225" s="41"/>
    </row>
    <row r="226" customFormat="false" ht="15" hidden="false" customHeight="false" outlineLevel="0" collapsed="false">
      <c r="D226" s="41"/>
      <c r="E226" s="41"/>
      <c r="G226" s="41"/>
    </row>
    <row r="227" customFormat="false" ht="15" hidden="false" customHeight="false" outlineLevel="0" collapsed="false">
      <c r="D227" s="41"/>
      <c r="E227" s="41"/>
      <c r="G227" s="41"/>
    </row>
    <row r="228" customFormat="false" ht="15" hidden="false" customHeight="false" outlineLevel="0" collapsed="false">
      <c r="D228" s="41"/>
      <c r="E228" s="41"/>
      <c r="G228" s="41"/>
    </row>
    <row r="229" customFormat="false" ht="15" hidden="false" customHeight="false" outlineLevel="0" collapsed="false">
      <c r="D229" s="41"/>
      <c r="E229" s="41"/>
      <c r="G229" s="41"/>
    </row>
    <row r="230" customFormat="false" ht="15" hidden="false" customHeight="false" outlineLevel="0" collapsed="false">
      <c r="D230" s="41"/>
      <c r="E230" s="41"/>
      <c r="G230" s="41"/>
    </row>
    <row r="231" customFormat="false" ht="15" hidden="false" customHeight="false" outlineLevel="0" collapsed="false">
      <c r="D231" s="41"/>
      <c r="E231" s="41"/>
      <c r="G231" s="41"/>
    </row>
    <row r="232" customFormat="false" ht="15" hidden="false" customHeight="false" outlineLevel="0" collapsed="false">
      <c r="D232" s="41"/>
      <c r="E232" s="41"/>
      <c r="G232" s="41"/>
    </row>
    <row r="233" customFormat="false" ht="15" hidden="false" customHeight="false" outlineLevel="0" collapsed="false">
      <c r="D233" s="41"/>
      <c r="E233" s="41"/>
      <c r="G233" s="41"/>
    </row>
    <row r="234" customFormat="false" ht="15" hidden="false" customHeight="false" outlineLevel="0" collapsed="false">
      <c r="D234" s="41"/>
      <c r="E234" s="41"/>
      <c r="G234" s="41"/>
    </row>
    <row r="235" customFormat="false" ht="15" hidden="false" customHeight="false" outlineLevel="0" collapsed="false">
      <c r="D235" s="41"/>
      <c r="E235" s="41"/>
      <c r="G235" s="41"/>
    </row>
    <row r="236" customFormat="false" ht="15" hidden="false" customHeight="false" outlineLevel="0" collapsed="false">
      <c r="D236" s="41"/>
      <c r="E236" s="41"/>
      <c r="G236" s="41"/>
    </row>
    <row r="237" customFormat="false" ht="15" hidden="false" customHeight="false" outlineLevel="0" collapsed="false">
      <c r="D237" s="41"/>
      <c r="E237" s="41"/>
      <c r="G237" s="41"/>
    </row>
    <row r="238" customFormat="false" ht="15" hidden="false" customHeight="false" outlineLevel="0" collapsed="false">
      <c r="D238" s="41"/>
      <c r="E238" s="41"/>
      <c r="G238" s="41"/>
    </row>
    <row r="239" customFormat="false" ht="15" hidden="false" customHeight="false" outlineLevel="0" collapsed="false">
      <c r="D239" s="41"/>
      <c r="E239" s="41"/>
      <c r="G239" s="41"/>
    </row>
    <row r="240" customFormat="false" ht="15" hidden="false" customHeight="false" outlineLevel="0" collapsed="false">
      <c r="D240" s="41"/>
      <c r="E240" s="41"/>
      <c r="G240" s="41"/>
    </row>
    <row r="241" customFormat="false" ht="15" hidden="false" customHeight="false" outlineLevel="0" collapsed="false">
      <c r="D241" s="41"/>
      <c r="E241" s="41"/>
      <c r="G241" s="41"/>
    </row>
    <row r="242" customFormat="false" ht="15" hidden="false" customHeight="false" outlineLevel="0" collapsed="false">
      <c r="D242" s="41"/>
      <c r="E242" s="41"/>
      <c r="G242" s="41"/>
    </row>
    <row r="243" customFormat="false" ht="15" hidden="false" customHeight="false" outlineLevel="0" collapsed="false">
      <c r="D243" s="41"/>
      <c r="E243" s="41"/>
      <c r="G243" s="41"/>
    </row>
    <row r="244" customFormat="false" ht="15" hidden="false" customHeight="false" outlineLevel="0" collapsed="false">
      <c r="D244" s="41"/>
      <c r="E244" s="41"/>
      <c r="G244" s="41"/>
    </row>
    <row r="245" customFormat="false" ht="15" hidden="false" customHeight="false" outlineLevel="0" collapsed="false">
      <c r="D245" s="41"/>
      <c r="E245" s="41"/>
      <c r="G245" s="41"/>
    </row>
    <row r="246" customFormat="false" ht="15" hidden="false" customHeight="false" outlineLevel="0" collapsed="false">
      <c r="D246" s="41"/>
      <c r="E246" s="41"/>
      <c r="G246" s="41"/>
    </row>
    <row r="247" customFormat="false" ht="15" hidden="false" customHeight="false" outlineLevel="0" collapsed="false">
      <c r="D247" s="41"/>
      <c r="E247" s="41"/>
      <c r="G247" s="41"/>
    </row>
    <row r="248" customFormat="false" ht="15" hidden="false" customHeight="false" outlineLevel="0" collapsed="false">
      <c r="D248" s="41"/>
      <c r="E248" s="41"/>
      <c r="G248" s="41"/>
    </row>
    <row r="249" customFormat="false" ht="15" hidden="false" customHeight="false" outlineLevel="0" collapsed="false">
      <c r="D249" s="41"/>
      <c r="E249" s="41"/>
      <c r="G249" s="41"/>
    </row>
    <row r="250" customFormat="false" ht="15" hidden="false" customHeight="false" outlineLevel="0" collapsed="false">
      <c r="D250" s="41"/>
      <c r="E250" s="41"/>
      <c r="G250" s="41"/>
    </row>
    <row r="251" customFormat="false" ht="15" hidden="false" customHeight="false" outlineLevel="0" collapsed="false">
      <c r="D251" s="41"/>
      <c r="E251" s="41"/>
      <c r="G251" s="41"/>
    </row>
    <row r="252" customFormat="false" ht="15" hidden="false" customHeight="false" outlineLevel="0" collapsed="false">
      <c r="D252" s="41"/>
      <c r="E252" s="41"/>
      <c r="G252" s="41"/>
    </row>
    <row r="253" customFormat="false" ht="15" hidden="false" customHeight="false" outlineLevel="0" collapsed="false">
      <c r="D253" s="41"/>
      <c r="E253" s="41"/>
      <c r="G253" s="41"/>
    </row>
    <row r="254" customFormat="false" ht="15" hidden="false" customHeight="false" outlineLevel="0" collapsed="false">
      <c r="D254" s="41"/>
      <c r="E254" s="41"/>
      <c r="G254" s="41"/>
    </row>
    <row r="255" customFormat="false" ht="15" hidden="false" customHeight="false" outlineLevel="0" collapsed="false">
      <c r="D255" s="41"/>
      <c r="E255" s="41"/>
      <c r="G255" s="41"/>
    </row>
    <row r="256" customFormat="false" ht="15" hidden="false" customHeight="false" outlineLevel="0" collapsed="false">
      <c r="D256" s="41"/>
      <c r="E256" s="41"/>
      <c r="G256" s="41"/>
    </row>
    <row r="257" customFormat="false" ht="15" hidden="false" customHeight="false" outlineLevel="0" collapsed="false">
      <c r="D257" s="41"/>
      <c r="E257" s="41"/>
      <c r="G257" s="41"/>
    </row>
    <row r="258" customFormat="false" ht="15" hidden="false" customHeight="false" outlineLevel="0" collapsed="false">
      <c r="D258" s="41"/>
      <c r="E258" s="41"/>
      <c r="G258" s="41"/>
    </row>
    <row r="259" customFormat="false" ht="15" hidden="false" customHeight="false" outlineLevel="0" collapsed="false">
      <c r="D259" s="41"/>
      <c r="E259" s="41"/>
      <c r="G259" s="41"/>
    </row>
    <row r="260" customFormat="false" ht="15" hidden="false" customHeight="false" outlineLevel="0" collapsed="false">
      <c r="D260" s="41"/>
      <c r="E260" s="41"/>
      <c r="G260" s="41"/>
    </row>
    <row r="261" customFormat="false" ht="15" hidden="false" customHeight="false" outlineLevel="0" collapsed="false">
      <c r="D261" s="41"/>
      <c r="E261" s="41"/>
      <c r="G261" s="41"/>
    </row>
    <row r="262" customFormat="false" ht="15" hidden="false" customHeight="false" outlineLevel="0" collapsed="false">
      <c r="D262" s="41"/>
      <c r="E262" s="41"/>
      <c r="G262" s="41"/>
    </row>
    <row r="263" customFormat="false" ht="15" hidden="false" customHeight="false" outlineLevel="0" collapsed="false">
      <c r="D263" s="41"/>
      <c r="E263" s="41"/>
      <c r="G263" s="41"/>
    </row>
    <row r="264" customFormat="false" ht="15" hidden="false" customHeight="false" outlineLevel="0" collapsed="false">
      <c r="D264" s="41"/>
      <c r="E264" s="41"/>
      <c r="G264" s="41"/>
    </row>
    <row r="265" customFormat="false" ht="15" hidden="false" customHeight="false" outlineLevel="0" collapsed="false">
      <c r="D265" s="41"/>
      <c r="E265" s="41"/>
      <c r="G265" s="41"/>
    </row>
    <row r="266" customFormat="false" ht="15" hidden="false" customHeight="false" outlineLevel="0" collapsed="false">
      <c r="D266" s="41"/>
      <c r="E266" s="41"/>
      <c r="G266" s="41"/>
    </row>
    <row r="267" customFormat="false" ht="15" hidden="false" customHeight="false" outlineLevel="0" collapsed="false">
      <c r="D267" s="41"/>
      <c r="E267" s="41"/>
      <c r="G267" s="41"/>
    </row>
    <row r="268" customFormat="false" ht="15" hidden="false" customHeight="false" outlineLevel="0" collapsed="false">
      <c r="D268" s="41"/>
      <c r="E268" s="41"/>
      <c r="G268" s="41"/>
    </row>
    <row r="269" customFormat="false" ht="15" hidden="false" customHeight="false" outlineLevel="0" collapsed="false">
      <c r="D269" s="41"/>
      <c r="E269" s="41"/>
      <c r="G269" s="41"/>
    </row>
    <row r="270" customFormat="false" ht="15" hidden="false" customHeight="false" outlineLevel="0" collapsed="false">
      <c r="D270" s="41"/>
      <c r="E270" s="41"/>
      <c r="G270" s="41"/>
    </row>
    <row r="271" customFormat="false" ht="15" hidden="false" customHeight="false" outlineLevel="0" collapsed="false">
      <c r="D271" s="41"/>
      <c r="E271" s="41"/>
      <c r="G271" s="41"/>
    </row>
    <row r="272" customFormat="false" ht="15" hidden="false" customHeight="false" outlineLevel="0" collapsed="false">
      <c r="D272" s="41"/>
      <c r="E272" s="41"/>
      <c r="G272" s="41"/>
    </row>
    <row r="273" customFormat="false" ht="15" hidden="false" customHeight="false" outlineLevel="0" collapsed="false">
      <c r="D273" s="41"/>
      <c r="E273" s="41"/>
      <c r="G273" s="41"/>
    </row>
    <row r="274" customFormat="false" ht="15" hidden="false" customHeight="false" outlineLevel="0" collapsed="false">
      <c r="D274" s="41"/>
      <c r="E274" s="41"/>
      <c r="G274" s="41"/>
    </row>
    <row r="275" customFormat="false" ht="15" hidden="false" customHeight="false" outlineLevel="0" collapsed="false">
      <c r="D275" s="41"/>
      <c r="E275" s="41"/>
      <c r="G275" s="41"/>
    </row>
    <row r="276" customFormat="false" ht="15" hidden="false" customHeight="false" outlineLevel="0" collapsed="false">
      <c r="D276" s="41"/>
      <c r="E276" s="41"/>
      <c r="G276" s="41"/>
    </row>
    <row r="277" customFormat="false" ht="15" hidden="false" customHeight="false" outlineLevel="0" collapsed="false">
      <c r="D277" s="41"/>
      <c r="E277" s="41"/>
      <c r="G277" s="41"/>
    </row>
    <row r="278" customFormat="false" ht="15" hidden="false" customHeight="false" outlineLevel="0" collapsed="false">
      <c r="D278" s="41"/>
      <c r="E278" s="41"/>
      <c r="G278" s="41"/>
    </row>
    <row r="279" customFormat="false" ht="15" hidden="false" customHeight="false" outlineLevel="0" collapsed="false">
      <c r="D279" s="41"/>
      <c r="E279" s="41"/>
      <c r="G279" s="41"/>
    </row>
    <row r="280" customFormat="false" ht="15" hidden="false" customHeight="false" outlineLevel="0" collapsed="false">
      <c r="D280" s="41"/>
      <c r="E280" s="41"/>
      <c r="G280" s="41"/>
    </row>
    <row r="281" customFormat="false" ht="15" hidden="false" customHeight="false" outlineLevel="0" collapsed="false">
      <c r="D281" s="41"/>
      <c r="E281" s="41"/>
      <c r="G281" s="41"/>
    </row>
    <row r="282" customFormat="false" ht="15" hidden="false" customHeight="false" outlineLevel="0" collapsed="false">
      <c r="D282" s="41"/>
      <c r="E282" s="41"/>
      <c r="G282" s="41"/>
    </row>
    <row r="283" customFormat="false" ht="15" hidden="false" customHeight="false" outlineLevel="0" collapsed="false">
      <c r="D283" s="41"/>
      <c r="E283" s="41"/>
      <c r="G283" s="41"/>
    </row>
    <row r="284" customFormat="false" ht="15" hidden="false" customHeight="false" outlineLevel="0" collapsed="false">
      <c r="D284" s="41"/>
      <c r="E284" s="41"/>
      <c r="G284" s="41"/>
    </row>
    <row r="285" customFormat="false" ht="15" hidden="false" customHeight="false" outlineLevel="0" collapsed="false">
      <c r="D285" s="41"/>
      <c r="E285" s="41"/>
      <c r="G285" s="41"/>
    </row>
    <row r="286" customFormat="false" ht="15" hidden="false" customHeight="false" outlineLevel="0" collapsed="false">
      <c r="D286" s="41"/>
      <c r="E286" s="41"/>
      <c r="G286" s="41"/>
    </row>
    <row r="287" customFormat="false" ht="15" hidden="false" customHeight="false" outlineLevel="0" collapsed="false">
      <c r="D287" s="41"/>
      <c r="E287" s="41"/>
      <c r="G287" s="41"/>
    </row>
    <row r="288" customFormat="false" ht="15" hidden="false" customHeight="false" outlineLevel="0" collapsed="false">
      <c r="D288" s="41"/>
      <c r="E288" s="41"/>
      <c r="G288" s="41"/>
    </row>
    <row r="289" customFormat="false" ht="15" hidden="false" customHeight="false" outlineLevel="0" collapsed="false">
      <c r="D289" s="41"/>
      <c r="E289" s="41"/>
      <c r="G289" s="41"/>
    </row>
    <row r="290" customFormat="false" ht="15" hidden="false" customHeight="false" outlineLevel="0" collapsed="false">
      <c r="D290" s="41"/>
      <c r="E290" s="41"/>
      <c r="G290" s="41"/>
    </row>
    <row r="291" customFormat="false" ht="15" hidden="false" customHeight="false" outlineLevel="0" collapsed="false">
      <c r="D291" s="41"/>
      <c r="E291" s="41"/>
      <c r="G291" s="41"/>
    </row>
    <row r="292" customFormat="false" ht="15" hidden="false" customHeight="false" outlineLevel="0" collapsed="false">
      <c r="D292" s="41"/>
      <c r="E292" s="41"/>
      <c r="G292" s="41"/>
    </row>
    <row r="293" customFormat="false" ht="15" hidden="false" customHeight="false" outlineLevel="0" collapsed="false">
      <c r="D293" s="41"/>
      <c r="E293" s="41"/>
      <c r="G293" s="41"/>
    </row>
    <row r="294" customFormat="false" ht="15" hidden="false" customHeight="false" outlineLevel="0" collapsed="false">
      <c r="D294" s="41"/>
      <c r="E294" s="41"/>
      <c r="G294" s="41"/>
    </row>
    <row r="295" customFormat="false" ht="15" hidden="false" customHeight="false" outlineLevel="0" collapsed="false">
      <c r="D295" s="41"/>
      <c r="E295" s="41"/>
      <c r="G295" s="41"/>
    </row>
    <row r="296" customFormat="false" ht="15" hidden="false" customHeight="false" outlineLevel="0" collapsed="false">
      <c r="D296" s="41"/>
      <c r="E296" s="41"/>
      <c r="G296" s="41"/>
    </row>
    <row r="297" customFormat="false" ht="15" hidden="false" customHeight="false" outlineLevel="0" collapsed="false">
      <c r="D297" s="41"/>
      <c r="E297" s="41"/>
      <c r="G297" s="41"/>
    </row>
    <row r="298" customFormat="false" ht="15" hidden="false" customHeight="false" outlineLevel="0" collapsed="false">
      <c r="D298" s="41"/>
      <c r="E298" s="41"/>
      <c r="G298" s="41"/>
    </row>
    <row r="299" customFormat="false" ht="15" hidden="false" customHeight="false" outlineLevel="0" collapsed="false">
      <c r="D299" s="41"/>
      <c r="E299" s="41"/>
      <c r="G299" s="41"/>
    </row>
    <row r="300" customFormat="false" ht="15" hidden="false" customHeight="false" outlineLevel="0" collapsed="false">
      <c r="D300" s="41"/>
      <c r="E300" s="41"/>
      <c r="G300" s="41"/>
    </row>
    <row r="301" customFormat="false" ht="15" hidden="false" customHeight="false" outlineLevel="0" collapsed="false">
      <c r="D301" s="41"/>
      <c r="E301" s="41"/>
      <c r="G301" s="41"/>
    </row>
    <row r="302" customFormat="false" ht="15" hidden="false" customHeight="false" outlineLevel="0" collapsed="false">
      <c r="D302" s="41"/>
      <c r="E302" s="41"/>
      <c r="G302" s="41"/>
    </row>
    <row r="303" customFormat="false" ht="15" hidden="false" customHeight="false" outlineLevel="0" collapsed="false">
      <c r="D303" s="41"/>
      <c r="E303" s="41"/>
      <c r="G303" s="41"/>
    </row>
    <row r="304" customFormat="false" ht="15" hidden="false" customHeight="false" outlineLevel="0" collapsed="false">
      <c r="D304" s="41"/>
      <c r="E304" s="41"/>
      <c r="G304" s="41"/>
    </row>
    <row r="305" customFormat="false" ht="15" hidden="false" customHeight="false" outlineLevel="0" collapsed="false">
      <c r="D305" s="41"/>
      <c r="E305" s="41"/>
      <c r="G305" s="41"/>
    </row>
    <row r="306" customFormat="false" ht="15" hidden="false" customHeight="false" outlineLevel="0" collapsed="false">
      <c r="D306" s="41"/>
      <c r="E306" s="41"/>
      <c r="G306" s="41"/>
    </row>
    <row r="307" customFormat="false" ht="15" hidden="false" customHeight="false" outlineLevel="0" collapsed="false">
      <c r="D307" s="41"/>
      <c r="E307" s="41"/>
      <c r="G307" s="41"/>
    </row>
    <row r="308" customFormat="false" ht="15" hidden="false" customHeight="false" outlineLevel="0" collapsed="false">
      <c r="D308" s="41"/>
      <c r="E308" s="41"/>
      <c r="G308" s="41"/>
    </row>
    <row r="309" customFormat="false" ht="15" hidden="false" customHeight="false" outlineLevel="0" collapsed="false">
      <c r="D309" s="41"/>
      <c r="E309" s="41"/>
      <c r="G309" s="41"/>
    </row>
    <row r="310" customFormat="false" ht="15" hidden="false" customHeight="false" outlineLevel="0" collapsed="false">
      <c r="D310" s="41"/>
      <c r="E310" s="41"/>
      <c r="G310" s="41"/>
    </row>
    <row r="311" customFormat="false" ht="15" hidden="false" customHeight="false" outlineLevel="0" collapsed="false">
      <c r="D311" s="41"/>
      <c r="E311" s="41"/>
      <c r="G311" s="41"/>
    </row>
    <row r="312" customFormat="false" ht="15" hidden="false" customHeight="false" outlineLevel="0" collapsed="false">
      <c r="D312" s="41"/>
      <c r="E312" s="41"/>
      <c r="G312" s="41"/>
    </row>
    <row r="313" customFormat="false" ht="15" hidden="false" customHeight="false" outlineLevel="0" collapsed="false">
      <c r="D313" s="41"/>
      <c r="E313" s="41"/>
      <c r="G313" s="41"/>
    </row>
    <row r="314" customFormat="false" ht="15" hidden="false" customHeight="false" outlineLevel="0" collapsed="false">
      <c r="D314" s="41"/>
      <c r="E314" s="41"/>
      <c r="G314" s="41"/>
    </row>
    <row r="315" customFormat="false" ht="15" hidden="false" customHeight="false" outlineLevel="0" collapsed="false">
      <c r="D315" s="41"/>
      <c r="E315" s="41"/>
      <c r="G315" s="41"/>
    </row>
    <row r="316" customFormat="false" ht="15" hidden="false" customHeight="false" outlineLevel="0" collapsed="false">
      <c r="D316" s="41"/>
      <c r="E316" s="41"/>
      <c r="G316" s="41"/>
    </row>
    <row r="317" customFormat="false" ht="15" hidden="false" customHeight="false" outlineLevel="0" collapsed="false">
      <c r="D317" s="41"/>
      <c r="E317" s="41"/>
      <c r="G317" s="41"/>
    </row>
    <row r="318" customFormat="false" ht="15" hidden="false" customHeight="false" outlineLevel="0" collapsed="false">
      <c r="D318" s="41"/>
      <c r="E318" s="41"/>
      <c r="G318" s="41"/>
    </row>
    <row r="319" customFormat="false" ht="15" hidden="false" customHeight="false" outlineLevel="0" collapsed="false">
      <c r="D319" s="41"/>
      <c r="E319" s="41"/>
      <c r="G319" s="41"/>
    </row>
    <row r="320" customFormat="false" ht="15" hidden="false" customHeight="false" outlineLevel="0" collapsed="false">
      <c r="D320" s="41"/>
      <c r="E320" s="41"/>
      <c r="G320" s="41"/>
    </row>
    <row r="321" customFormat="false" ht="15" hidden="false" customHeight="false" outlineLevel="0" collapsed="false">
      <c r="D321" s="41"/>
      <c r="E321" s="41"/>
      <c r="G321" s="41"/>
    </row>
    <row r="322" customFormat="false" ht="15" hidden="false" customHeight="false" outlineLevel="0" collapsed="false">
      <c r="D322" s="41"/>
      <c r="E322" s="41"/>
      <c r="G322" s="41"/>
    </row>
    <row r="323" customFormat="false" ht="15" hidden="false" customHeight="false" outlineLevel="0" collapsed="false">
      <c r="D323" s="41"/>
      <c r="E323" s="41"/>
      <c r="G323" s="41"/>
    </row>
    <row r="324" customFormat="false" ht="15" hidden="false" customHeight="false" outlineLevel="0" collapsed="false">
      <c r="D324" s="41"/>
      <c r="E324" s="41"/>
      <c r="G324" s="41"/>
    </row>
    <row r="325" customFormat="false" ht="15" hidden="false" customHeight="false" outlineLevel="0" collapsed="false">
      <c r="D325" s="41"/>
      <c r="E325" s="41"/>
      <c r="G325" s="41"/>
    </row>
    <row r="326" customFormat="false" ht="15" hidden="false" customHeight="false" outlineLevel="0" collapsed="false">
      <c r="D326" s="41"/>
      <c r="E326" s="41"/>
      <c r="G326" s="41"/>
    </row>
    <row r="327" customFormat="false" ht="15" hidden="false" customHeight="false" outlineLevel="0" collapsed="false">
      <c r="D327" s="41"/>
      <c r="E327" s="41"/>
      <c r="G327" s="41"/>
    </row>
    <row r="328" customFormat="false" ht="15" hidden="false" customHeight="false" outlineLevel="0" collapsed="false">
      <c r="D328" s="41"/>
      <c r="E328" s="41"/>
      <c r="G328" s="41"/>
    </row>
    <row r="329" customFormat="false" ht="15" hidden="false" customHeight="false" outlineLevel="0" collapsed="false">
      <c r="D329" s="41"/>
      <c r="E329" s="41"/>
      <c r="G329" s="41"/>
    </row>
    <row r="330" customFormat="false" ht="15" hidden="false" customHeight="false" outlineLevel="0" collapsed="false">
      <c r="D330" s="41"/>
      <c r="E330" s="41"/>
      <c r="G330" s="41"/>
    </row>
    <row r="331" customFormat="false" ht="15" hidden="false" customHeight="false" outlineLevel="0" collapsed="false">
      <c r="D331" s="41"/>
      <c r="E331" s="41"/>
      <c r="G331" s="41"/>
    </row>
    <row r="332" customFormat="false" ht="15" hidden="false" customHeight="false" outlineLevel="0" collapsed="false">
      <c r="D332" s="41"/>
      <c r="E332" s="41"/>
      <c r="G332" s="41"/>
    </row>
    <row r="333" customFormat="false" ht="15" hidden="false" customHeight="false" outlineLevel="0" collapsed="false">
      <c r="D333" s="41"/>
      <c r="E333" s="41"/>
      <c r="G333" s="41"/>
    </row>
    <row r="334" customFormat="false" ht="15" hidden="false" customHeight="false" outlineLevel="0" collapsed="false">
      <c r="D334" s="41"/>
      <c r="E334" s="41"/>
      <c r="G334" s="41"/>
    </row>
    <row r="335" customFormat="false" ht="15" hidden="false" customHeight="false" outlineLevel="0" collapsed="false">
      <c r="D335" s="41"/>
      <c r="E335" s="41"/>
      <c r="G335" s="41"/>
    </row>
    <row r="336" customFormat="false" ht="15" hidden="false" customHeight="false" outlineLevel="0" collapsed="false">
      <c r="D336" s="41"/>
      <c r="E336" s="41"/>
      <c r="G336" s="41"/>
    </row>
    <row r="337" customFormat="false" ht="15" hidden="false" customHeight="false" outlineLevel="0" collapsed="false">
      <c r="D337" s="41"/>
      <c r="E337" s="41"/>
      <c r="G337" s="41"/>
    </row>
    <row r="338" customFormat="false" ht="15" hidden="false" customHeight="false" outlineLevel="0" collapsed="false">
      <c r="D338" s="41"/>
      <c r="E338" s="41"/>
      <c r="G338" s="41"/>
    </row>
    <row r="339" customFormat="false" ht="15" hidden="false" customHeight="false" outlineLevel="0" collapsed="false">
      <c r="D339" s="41"/>
      <c r="E339" s="41"/>
      <c r="G339" s="41"/>
    </row>
    <row r="340" customFormat="false" ht="15" hidden="false" customHeight="false" outlineLevel="0" collapsed="false">
      <c r="D340" s="41"/>
      <c r="E340" s="41"/>
      <c r="G340" s="41"/>
    </row>
    <row r="341" customFormat="false" ht="15" hidden="false" customHeight="false" outlineLevel="0" collapsed="false">
      <c r="D341" s="41"/>
      <c r="E341" s="41"/>
      <c r="G341" s="41"/>
    </row>
    <row r="342" customFormat="false" ht="15" hidden="false" customHeight="false" outlineLevel="0" collapsed="false">
      <c r="D342" s="41"/>
      <c r="E342" s="41"/>
      <c r="G342" s="41"/>
    </row>
    <row r="343" customFormat="false" ht="15" hidden="false" customHeight="false" outlineLevel="0" collapsed="false">
      <c r="D343" s="41"/>
      <c r="E343" s="41"/>
      <c r="G343" s="41"/>
    </row>
    <row r="344" customFormat="false" ht="15" hidden="false" customHeight="false" outlineLevel="0" collapsed="false">
      <c r="D344" s="41"/>
      <c r="E344" s="41"/>
      <c r="G344" s="41"/>
    </row>
    <row r="345" customFormat="false" ht="15" hidden="false" customHeight="false" outlineLevel="0" collapsed="false">
      <c r="D345" s="41"/>
      <c r="E345" s="41"/>
      <c r="G345" s="41"/>
    </row>
    <row r="346" customFormat="false" ht="15" hidden="false" customHeight="false" outlineLevel="0" collapsed="false">
      <c r="D346" s="41"/>
      <c r="E346" s="41"/>
      <c r="G346" s="41"/>
    </row>
    <row r="347" customFormat="false" ht="15" hidden="false" customHeight="false" outlineLevel="0" collapsed="false">
      <c r="D347" s="41"/>
      <c r="E347" s="41"/>
      <c r="G347" s="41"/>
    </row>
    <row r="348" customFormat="false" ht="15" hidden="false" customHeight="false" outlineLevel="0" collapsed="false">
      <c r="D348" s="41"/>
      <c r="E348" s="41"/>
      <c r="G348" s="41"/>
    </row>
    <row r="349" customFormat="false" ht="15" hidden="false" customHeight="false" outlineLevel="0" collapsed="false">
      <c r="D349" s="41"/>
      <c r="E349" s="41"/>
      <c r="G349" s="41"/>
    </row>
    <row r="350" customFormat="false" ht="15" hidden="false" customHeight="false" outlineLevel="0" collapsed="false">
      <c r="D350" s="41"/>
      <c r="E350" s="41"/>
      <c r="G350" s="41"/>
    </row>
    <row r="351" customFormat="false" ht="15" hidden="false" customHeight="false" outlineLevel="0" collapsed="false">
      <c r="D351" s="41"/>
      <c r="E351" s="41"/>
      <c r="G351" s="41"/>
    </row>
    <row r="352" customFormat="false" ht="15" hidden="false" customHeight="false" outlineLevel="0" collapsed="false">
      <c r="D352" s="41"/>
      <c r="E352" s="41"/>
      <c r="G352" s="41"/>
    </row>
    <row r="353" customFormat="false" ht="15" hidden="false" customHeight="false" outlineLevel="0" collapsed="false">
      <c r="D353" s="41"/>
      <c r="E353" s="41"/>
      <c r="G353" s="41"/>
    </row>
    <row r="354" customFormat="false" ht="15" hidden="false" customHeight="false" outlineLevel="0" collapsed="false">
      <c r="D354" s="41"/>
      <c r="E354" s="41"/>
      <c r="G354" s="41"/>
    </row>
    <row r="355" customFormat="false" ht="15" hidden="false" customHeight="false" outlineLevel="0" collapsed="false">
      <c r="D355" s="41"/>
      <c r="E355" s="41"/>
      <c r="G355" s="41"/>
    </row>
    <row r="356" customFormat="false" ht="15" hidden="false" customHeight="false" outlineLevel="0" collapsed="false">
      <c r="D356" s="41"/>
      <c r="E356" s="41"/>
      <c r="G356" s="41"/>
    </row>
    <row r="357" customFormat="false" ht="15" hidden="false" customHeight="false" outlineLevel="0" collapsed="false">
      <c r="D357" s="41"/>
      <c r="E357" s="41"/>
      <c r="G357" s="41"/>
    </row>
    <row r="358" customFormat="false" ht="15" hidden="false" customHeight="false" outlineLevel="0" collapsed="false">
      <c r="D358" s="41"/>
      <c r="E358" s="41"/>
      <c r="G358" s="41"/>
    </row>
    <row r="359" customFormat="false" ht="15" hidden="false" customHeight="false" outlineLevel="0" collapsed="false">
      <c r="D359" s="41"/>
      <c r="E359" s="41"/>
      <c r="G359" s="41"/>
    </row>
    <row r="360" customFormat="false" ht="15" hidden="false" customHeight="false" outlineLevel="0" collapsed="false">
      <c r="D360" s="41"/>
      <c r="E360" s="41"/>
      <c r="G360" s="41"/>
    </row>
    <row r="361" customFormat="false" ht="15" hidden="false" customHeight="false" outlineLevel="0" collapsed="false">
      <c r="D361" s="41"/>
      <c r="E361" s="41"/>
      <c r="G361" s="41"/>
    </row>
    <row r="362" customFormat="false" ht="15" hidden="false" customHeight="false" outlineLevel="0" collapsed="false">
      <c r="D362" s="41"/>
      <c r="E362" s="41"/>
      <c r="G362" s="41"/>
    </row>
    <row r="363" customFormat="false" ht="15" hidden="false" customHeight="false" outlineLevel="0" collapsed="false">
      <c r="D363" s="41"/>
      <c r="E363" s="41"/>
      <c r="G363" s="41"/>
    </row>
    <row r="364" customFormat="false" ht="15" hidden="false" customHeight="false" outlineLevel="0" collapsed="false">
      <c r="D364" s="41"/>
      <c r="E364" s="41"/>
      <c r="G364" s="41"/>
    </row>
    <row r="365" customFormat="false" ht="15" hidden="false" customHeight="false" outlineLevel="0" collapsed="false">
      <c r="D365" s="41"/>
      <c r="E365" s="41"/>
      <c r="G365" s="41"/>
    </row>
    <row r="366" customFormat="false" ht="15" hidden="false" customHeight="false" outlineLevel="0" collapsed="false">
      <c r="D366" s="41"/>
      <c r="E366" s="41"/>
      <c r="G366" s="41"/>
    </row>
    <row r="367" customFormat="false" ht="15" hidden="false" customHeight="false" outlineLevel="0" collapsed="false">
      <c r="D367" s="41"/>
      <c r="E367" s="41"/>
      <c r="G367" s="41"/>
    </row>
    <row r="368" customFormat="false" ht="15" hidden="false" customHeight="false" outlineLevel="0" collapsed="false">
      <c r="D368" s="41"/>
      <c r="E368" s="41"/>
      <c r="G368" s="41"/>
    </row>
    <row r="369" customFormat="false" ht="15" hidden="false" customHeight="false" outlineLevel="0" collapsed="false">
      <c r="D369" s="41"/>
      <c r="E369" s="41"/>
      <c r="G369" s="41"/>
    </row>
    <row r="370" customFormat="false" ht="15" hidden="false" customHeight="false" outlineLevel="0" collapsed="false">
      <c r="D370" s="41"/>
      <c r="E370" s="41"/>
      <c r="G370" s="41"/>
    </row>
    <row r="371" customFormat="false" ht="15" hidden="false" customHeight="false" outlineLevel="0" collapsed="false">
      <c r="D371" s="41"/>
      <c r="E371" s="41"/>
      <c r="G371" s="41"/>
    </row>
    <row r="372" customFormat="false" ht="15" hidden="false" customHeight="false" outlineLevel="0" collapsed="false">
      <c r="D372" s="41"/>
      <c r="E372" s="41"/>
      <c r="G372" s="41"/>
    </row>
    <row r="373" customFormat="false" ht="15" hidden="false" customHeight="false" outlineLevel="0" collapsed="false">
      <c r="D373" s="41"/>
      <c r="E373" s="41"/>
      <c r="G373" s="41"/>
    </row>
    <row r="374" customFormat="false" ht="15" hidden="false" customHeight="false" outlineLevel="0" collapsed="false">
      <c r="D374" s="41"/>
      <c r="E374" s="41"/>
      <c r="G374" s="41"/>
    </row>
    <row r="375" customFormat="false" ht="15" hidden="false" customHeight="false" outlineLevel="0" collapsed="false">
      <c r="D375" s="41"/>
      <c r="E375" s="41"/>
      <c r="G375" s="41"/>
    </row>
    <row r="376" customFormat="false" ht="15" hidden="false" customHeight="false" outlineLevel="0" collapsed="false">
      <c r="D376" s="41"/>
      <c r="E376" s="41"/>
      <c r="G376" s="41"/>
    </row>
    <row r="377" customFormat="false" ht="15" hidden="false" customHeight="false" outlineLevel="0" collapsed="false">
      <c r="D377" s="41"/>
      <c r="E377" s="41"/>
      <c r="G377" s="41"/>
    </row>
    <row r="378" customFormat="false" ht="15" hidden="false" customHeight="false" outlineLevel="0" collapsed="false">
      <c r="D378" s="41"/>
      <c r="E378" s="41"/>
      <c r="G378" s="41"/>
    </row>
    <row r="379" customFormat="false" ht="15" hidden="false" customHeight="false" outlineLevel="0" collapsed="false">
      <c r="D379" s="41"/>
      <c r="E379" s="41"/>
      <c r="G379" s="41"/>
    </row>
    <row r="380" customFormat="false" ht="15" hidden="false" customHeight="false" outlineLevel="0" collapsed="false">
      <c r="D380" s="41"/>
      <c r="E380" s="41"/>
      <c r="G380" s="41"/>
    </row>
    <row r="381" customFormat="false" ht="15" hidden="false" customHeight="false" outlineLevel="0" collapsed="false">
      <c r="D381" s="41"/>
      <c r="E381" s="41"/>
      <c r="G381" s="41"/>
    </row>
    <row r="382" customFormat="false" ht="15" hidden="false" customHeight="false" outlineLevel="0" collapsed="false">
      <c r="D382" s="41"/>
      <c r="E382" s="41"/>
      <c r="G382" s="41"/>
    </row>
    <row r="383" customFormat="false" ht="15" hidden="false" customHeight="false" outlineLevel="0" collapsed="false">
      <c r="D383" s="41"/>
      <c r="E383" s="41"/>
      <c r="G383" s="41"/>
    </row>
    <row r="384" customFormat="false" ht="15" hidden="false" customHeight="false" outlineLevel="0" collapsed="false">
      <c r="D384" s="41"/>
      <c r="E384" s="41"/>
      <c r="G384" s="41"/>
    </row>
    <row r="385" customFormat="false" ht="15" hidden="false" customHeight="false" outlineLevel="0" collapsed="false">
      <c r="D385" s="41"/>
      <c r="E385" s="41"/>
      <c r="G385" s="41"/>
    </row>
    <row r="386" customFormat="false" ht="15" hidden="false" customHeight="false" outlineLevel="0" collapsed="false">
      <c r="D386" s="41"/>
      <c r="E386" s="41"/>
      <c r="G386" s="41"/>
    </row>
    <row r="387" customFormat="false" ht="15" hidden="false" customHeight="false" outlineLevel="0" collapsed="false">
      <c r="D387" s="41"/>
      <c r="E387" s="41"/>
      <c r="G387" s="41"/>
    </row>
    <row r="388" customFormat="false" ht="15" hidden="false" customHeight="false" outlineLevel="0" collapsed="false">
      <c r="D388" s="41"/>
      <c r="E388" s="41"/>
      <c r="G388" s="41"/>
    </row>
    <row r="389" customFormat="false" ht="15" hidden="false" customHeight="false" outlineLevel="0" collapsed="false">
      <c r="D389" s="41"/>
      <c r="E389" s="41"/>
      <c r="G389" s="41"/>
    </row>
    <row r="390" customFormat="false" ht="15" hidden="false" customHeight="false" outlineLevel="0" collapsed="false">
      <c r="D390" s="41"/>
      <c r="E390" s="41"/>
      <c r="G390" s="41"/>
    </row>
    <row r="391" customFormat="false" ht="15" hidden="false" customHeight="false" outlineLevel="0" collapsed="false">
      <c r="D391" s="41"/>
      <c r="E391" s="41"/>
      <c r="G391" s="41"/>
    </row>
    <row r="392" customFormat="false" ht="15" hidden="false" customHeight="false" outlineLevel="0" collapsed="false">
      <c r="D392" s="41"/>
      <c r="E392" s="41"/>
      <c r="G392" s="41"/>
    </row>
    <row r="393" customFormat="false" ht="15" hidden="false" customHeight="false" outlineLevel="0" collapsed="false">
      <c r="D393" s="41"/>
      <c r="E393" s="41"/>
      <c r="G393" s="41"/>
    </row>
    <row r="394" customFormat="false" ht="15" hidden="false" customHeight="false" outlineLevel="0" collapsed="false">
      <c r="D394" s="41"/>
      <c r="E394" s="41"/>
      <c r="G394" s="41"/>
    </row>
    <row r="395" customFormat="false" ht="15" hidden="false" customHeight="false" outlineLevel="0" collapsed="false">
      <c r="D395" s="41"/>
      <c r="E395" s="41"/>
      <c r="G395" s="41"/>
    </row>
    <row r="396" customFormat="false" ht="15" hidden="false" customHeight="false" outlineLevel="0" collapsed="false">
      <c r="D396" s="41"/>
      <c r="E396" s="41"/>
      <c r="G396" s="41"/>
    </row>
    <row r="397" customFormat="false" ht="15" hidden="false" customHeight="false" outlineLevel="0" collapsed="false">
      <c r="D397" s="41"/>
      <c r="E397" s="41"/>
      <c r="G397" s="41"/>
    </row>
    <row r="398" customFormat="false" ht="15" hidden="false" customHeight="false" outlineLevel="0" collapsed="false">
      <c r="D398" s="41"/>
      <c r="E398" s="41"/>
      <c r="G398" s="41"/>
    </row>
    <row r="399" customFormat="false" ht="15" hidden="false" customHeight="false" outlineLevel="0" collapsed="false">
      <c r="D399" s="41"/>
      <c r="E399" s="41"/>
      <c r="G399" s="41"/>
    </row>
    <row r="400" customFormat="false" ht="15" hidden="false" customHeight="false" outlineLevel="0" collapsed="false">
      <c r="D400" s="41"/>
      <c r="E400" s="41"/>
      <c r="G400" s="41"/>
    </row>
    <row r="401" customFormat="false" ht="15" hidden="false" customHeight="false" outlineLevel="0" collapsed="false">
      <c r="D401" s="41"/>
      <c r="E401" s="41"/>
      <c r="G401" s="41"/>
    </row>
    <row r="402" customFormat="false" ht="15" hidden="false" customHeight="false" outlineLevel="0" collapsed="false">
      <c r="D402" s="41"/>
      <c r="E402" s="41"/>
      <c r="G402" s="41"/>
    </row>
    <row r="403" customFormat="false" ht="15" hidden="false" customHeight="false" outlineLevel="0" collapsed="false">
      <c r="D403" s="41"/>
      <c r="E403" s="41"/>
      <c r="G403" s="41"/>
    </row>
    <row r="404" customFormat="false" ht="15" hidden="false" customHeight="false" outlineLevel="0" collapsed="false">
      <c r="D404" s="41"/>
      <c r="E404" s="41"/>
      <c r="G404" s="41"/>
    </row>
    <row r="405" customFormat="false" ht="15" hidden="false" customHeight="false" outlineLevel="0" collapsed="false">
      <c r="D405" s="41"/>
      <c r="E405" s="41"/>
      <c r="G405" s="41"/>
    </row>
    <row r="406" customFormat="false" ht="15" hidden="false" customHeight="false" outlineLevel="0" collapsed="false">
      <c r="D406" s="41"/>
      <c r="E406" s="41"/>
      <c r="G406" s="41"/>
    </row>
    <row r="407" customFormat="false" ht="15" hidden="false" customHeight="false" outlineLevel="0" collapsed="false">
      <c r="D407" s="41"/>
      <c r="E407" s="41"/>
      <c r="G407" s="41"/>
    </row>
    <row r="408" customFormat="false" ht="15" hidden="false" customHeight="false" outlineLevel="0" collapsed="false">
      <c r="D408" s="41"/>
      <c r="E408" s="41"/>
      <c r="G408" s="41"/>
    </row>
    <row r="409" customFormat="false" ht="15" hidden="false" customHeight="false" outlineLevel="0" collapsed="false">
      <c r="D409" s="41"/>
      <c r="E409" s="41"/>
      <c r="G409" s="41"/>
    </row>
    <row r="410" customFormat="false" ht="15" hidden="false" customHeight="false" outlineLevel="0" collapsed="false">
      <c r="D410" s="41"/>
      <c r="E410" s="41"/>
      <c r="G410" s="41"/>
    </row>
    <row r="411" customFormat="false" ht="15" hidden="false" customHeight="false" outlineLevel="0" collapsed="false">
      <c r="D411" s="41"/>
      <c r="E411" s="41"/>
      <c r="G411" s="41"/>
    </row>
    <row r="412" customFormat="false" ht="15" hidden="false" customHeight="false" outlineLevel="0" collapsed="false">
      <c r="D412" s="41"/>
      <c r="E412" s="41"/>
      <c r="G412" s="41"/>
    </row>
    <row r="413" customFormat="false" ht="15" hidden="false" customHeight="false" outlineLevel="0" collapsed="false">
      <c r="D413" s="41"/>
      <c r="E413" s="41"/>
      <c r="G413" s="41"/>
    </row>
    <row r="414" customFormat="false" ht="15" hidden="false" customHeight="false" outlineLevel="0" collapsed="false">
      <c r="D414" s="41"/>
      <c r="E414" s="41"/>
      <c r="G414" s="41"/>
    </row>
    <row r="415" customFormat="false" ht="15" hidden="false" customHeight="false" outlineLevel="0" collapsed="false">
      <c r="D415" s="41"/>
      <c r="E415" s="41"/>
      <c r="G415" s="41"/>
    </row>
    <row r="416" customFormat="false" ht="15" hidden="false" customHeight="false" outlineLevel="0" collapsed="false">
      <c r="D416" s="41"/>
      <c r="E416" s="41"/>
      <c r="G416" s="41"/>
    </row>
    <row r="417" customFormat="false" ht="15" hidden="false" customHeight="false" outlineLevel="0" collapsed="false">
      <c r="D417" s="41"/>
      <c r="E417" s="41"/>
      <c r="G417" s="41"/>
    </row>
    <row r="418" customFormat="false" ht="15" hidden="false" customHeight="false" outlineLevel="0" collapsed="false">
      <c r="D418" s="41"/>
      <c r="E418" s="41"/>
      <c r="G418" s="41"/>
    </row>
    <row r="419" customFormat="false" ht="15" hidden="false" customHeight="false" outlineLevel="0" collapsed="false">
      <c r="D419" s="41"/>
      <c r="E419" s="41"/>
      <c r="G419" s="41"/>
    </row>
    <row r="420" customFormat="false" ht="15" hidden="false" customHeight="false" outlineLevel="0" collapsed="false">
      <c r="D420" s="41"/>
      <c r="E420" s="41"/>
      <c r="G420" s="41"/>
    </row>
    <row r="421" customFormat="false" ht="15" hidden="false" customHeight="false" outlineLevel="0" collapsed="false">
      <c r="D421" s="41"/>
      <c r="E421" s="41"/>
      <c r="G421" s="41"/>
    </row>
    <row r="422" customFormat="false" ht="15" hidden="false" customHeight="false" outlineLevel="0" collapsed="false">
      <c r="D422" s="41"/>
      <c r="E422" s="41"/>
      <c r="G422" s="41"/>
    </row>
    <row r="423" customFormat="false" ht="15" hidden="false" customHeight="false" outlineLevel="0" collapsed="false">
      <c r="D423" s="41"/>
      <c r="E423" s="41"/>
      <c r="G423" s="41"/>
    </row>
    <row r="424" customFormat="false" ht="15" hidden="false" customHeight="false" outlineLevel="0" collapsed="false">
      <c r="D424" s="41"/>
      <c r="E424" s="41"/>
      <c r="G424" s="41"/>
    </row>
    <row r="425" customFormat="false" ht="15" hidden="false" customHeight="false" outlineLevel="0" collapsed="false">
      <c r="D425" s="41"/>
      <c r="E425" s="41"/>
      <c r="G425" s="41"/>
    </row>
    <row r="426" customFormat="false" ht="15" hidden="false" customHeight="false" outlineLevel="0" collapsed="false">
      <c r="D426" s="41"/>
      <c r="E426" s="41"/>
      <c r="G426" s="41"/>
    </row>
    <row r="427" customFormat="false" ht="15" hidden="false" customHeight="false" outlineLevel="0" collapsed="false">
      <c r="D427" s="41"/>
      <c r="E427" s="41"/>
      <c r="G427" s="41"/>
    </row>
    <row r="428" customFormat="false" ht="15" hidden="false" customHeight="false" outlineLevel="0" collapsed="false">
      <c r="D428" s="41"/>
      <c r="E428" s="41"/>
      <c r="G428" s="41"/>
    </row>
    <row r="429" customFormat="false" ht="15" hidden="false" customHeight="false" outlineLevel="0" collapsed="false">
      <c r="D429" s="41"/>
      <c r="E429" s="41"/>
      <c r="G429" s="41"/>
    </row>
    <row r="430" customFormat="false" ht="15" hidden="false" customHeight="false" outlineLevel="0" collapsed="false">
      <c r="D430" s="41"/>
      <c r="E430" s="41"/>
      <c r="G430" s="41"/>
    </row>
    <row r="431" customFormat="false" ht="15" hidden="false" customHeight="false" outlineLevel="0" collapsed="false">
      <c r="D431" s="41"/>
      <c r="E431" s="41"/>
      <c r="G431" s="41"/>
    </row>
    <row r="432" customFormat="false" ht="15" hidden="false" customHeight="false" outlineLevel="0" collapsed="false">
      <c r="D432" s="41"/>
      <c r="E432" s="41"/>
      <c r="G432" s="41"/>
    </row>
    <row r="433" customFormat="false" ht="15" hidden="false" customHeight="false" outlineLevel="0" collapsed="false">
      <c r="D433" s="41"/>
      <c r="E433" s="41"/>
      <c r="G433" s="41"/>
    </row>
    <row r="434" customFormat="false" ht="15" hidden="false" customHeight="false" outlineLevel="0" collapsed="false">
      <c r="D434" s="41"/>
      <c r="E434" s="41"/>
      <c r="G434" s="41"/>
    </row>
    <row r="435" customFormat="false" ht="15" hidden="false" customHeight="false" outlineLevel="0" collapsed="false">
      <c r="D435" s="41"/>
      <c r="E435" s="41"/>
      <c r="G435" s="41"/>
    </row>
    <row r="436" customFormat="false" ht="15" hidden="false" customHeight="false" outlineLevel="0" collapsed="false">
      <c r="D436" s="41"/>
      <c r="E436" s="41"/>
      <c r="G436" s="41"/>
    </row>
    <row r="437" customFormat="false" ht="15" hidden="false" customHeight="false" outlineLevel="0" collapsed="false">
      <c r="D437" s="41"/>
      <c r="E437" s="41"/>
      <c r="G437" s="41"/>
    </row>
    <row r="438" customFormat="false" ht="15" hidden="false" customHeight="false" outlineLevel="0" collapsed="false">
      <c r="D438" s="41"/>
      <c r="E438" s="41"/>
      <c r="G438" s="41"/>
    </row>
    <row r="439" customFormat="false" ht="15" hidden="false" customHeight="false" outlineLevel="0" collapsed="false">
      <c r="D439" s="41"/>
      <c r="E439" s="41"/>
      <c r="G439" s="41"/>
    </row>
    <row r="440" customFormat="false" ht="15" hidden="false" customHeight="false" outlineLevel="0" collapsed="false">
      <c r="D440" s="41"/>
      <c r="E440" s="41"/>
      <c r="G440" s="41"/>
    </row>
    <row r="441" customFormat="false" ht="15" hidden="false" customHeight="false" outlineLevel="0" collapsed="false">
      <c r="D441" s="41"/>
      <c r="E441" s="41"/>
      <c r="G441" s="41"/>
    </row>
    <row r="442" customFormat="false" ht="15" hidden="false" customHeight="false" outlineLevel="0" collapsed="false">
      <c r="D442" s="41"/>
      <c r="E442" s="41"/>
      <c r="G442" s="41"/>
    </row>
    <row r="443" customFormat="false" ht="15" hidden="false" customHeight="false" outlineLevel="0" collapsed="false">
      <c r="D443" s="41"/>
      <c r="E443" s="41"/>
      <c r="G443" s="41"/>
    </row>
    <row r="444" customFormat="false" ht="15" hidden="false" customHeight="false" outlineLevel="0" collapsed="false">
      <c r="D444" s="41"/>
      <c r="E444" s="41"/>
      <c r="G444" s="41"/>
    </row>
    <row r="445" customFormat="false" ht="15" hidden="false" customHeight="false" outlineLevel="0" collapsed="false">
      <c r="D445" s="41"/>
      <c r="E445" s="41"/>
      <c r="G445" s="41"/>
    </row>
    <row r="446" customFormat="false" ht="15" hidden="false" customHeight="false" outlineLevel="0" collapsed="false">
      <c r="D446" s="41"/>
      <c r="E446" s="41"/>
      <c r="G446" s="41"/>
    </row>
    <row r="447" customFormat="false" ht="15" hidden="false" customHeight="false" outlineLevel="0" collapsed="false">
      <c r="D447" s="41"/>
      <c r="E447" s="41"/>
      <c r="G447" s="41"/>
    </row>
    <row r="448" customFormat="false" ht="15" hidden="false" customHeight="false" outlineLevel="0" collapsed="false">
      <c r="D448" s="41"/>
      <c r="E448" s="41"/>
      <c r="G448" s="41"/>
    </row>
    <row r="449" customFormat="false" ht="15" hidden="false" customHeight="false" outlineLevel="0" collapsed="false">
      <c r="D449" s="41"/>
      <c r="E449" s="41"/>
      <c r="G449" s="41"/>
    </row>
    <row r="450" customFormat="false" ht="15" hidden="false" customHeight="false" outlineLevel="0" collapsed="false">
      <c r="D450" s="41"/>
      <c r="E450" s="41"/>
      <c r="G450" s="41"/>
    </row>
    <row r="451" customFormat="false" ht="15" hidden="false" customHeight="false" outlineLevel="0" collapsed="false">
      <c r="D451" s="41"/>
      <c r="E451" s="41"/>
      <c r="G451" s="41"/>
    </row>
    <row r="452" customFormat="false" ht="15" hidden="false" customHeight="false" outlineLevel="0" collapsed="false">
      <c r="D452" s="41"/>
      <c r="E452" s="41"/>
      <c r="G452" s="41"/>
    </row>
    <row r="453" customFormat="false" ht="15" hidden="false" customHeight="false" outlineLevel="0" collapsed="false">
      <c r="D453" s="41"/>
      <c r="E453" s="41"/>
      <c r="G453" s="41"/>
    </row>
    <row r="454" customFormat="false" ht="15" hidden="false" customHeight="false" outlineLevel="0" collapsed="false">
      <c r="D454" s="41"/>
      <c r="E454" s="41"/>
      <c r="G454" s="41"/>
    </row>
    <row r="455" customFormat="false" ht="15" hidden="false" customHeight="false" outlineLevel="0" collapsed="false">
      <c r="D455" s="41"/>
      <c r="E455" s="41"/>
      <c r="G455" s="41"/>
    </row>
    <row r="456" customFormat="false" ht="15" hidden="false" customHeight="false" outlineLevel="0" collapsed="false">
      <c r="D456" s="41"/>
      <c r="E456" s="41"/>
      <c r="G456" s="41"/>
    </row>
    <row r="457" customFormat="false" ht="15" hidden="false" customHeight="false" outlineLevel="0" collapsed="false">
      <c r="D457" s="41"/>
      <c r="E457" s="41"/>
      <c r="G457" s="41"/>
    </row>
    <row r="458" customFormat="false" ht="15" hidden="false" customHeight="false" outlineLevel="0" collapsed="false">
      <c r="D458" s="41"/>
      <c r="E458" s="41"/>
      <c r="G458" s="41"/>
    </row>
    <row r="459" customFormat="false" ht="15" hidden="false" customHeight="false" outlineLevel="0" collapsed="false">
      <c r="D459" s="41"/>
      <c r="E459" s="41"/>
      <c r="G459" s="41"/>
    </row>
    <row r="460" customFormat="false" ht="15" hidden="false" customHeight="false" outlineLevel="0" collapsed="false">
      <c r="D460" s="41"/>
      <c r="E460" s="41"/>
      <c r="G460" s="41"/>
    </row>
    <row r="461" customFormat="false" ht="15" hidden="false" customHeight="false" outlineLevel="0" collapsed="false">
      <c r="D461" s="41"/>
      <c r="E461" s="41"/>
      <c r="G461" s="41"/>
    </row>
    <row r="462" customFormat="false" ht="15" hidden="false" customHeight="false" outlineLevel="0" collapsed="false">
      <c r="D462" s="41"/>
      <c r="E462" s="41"/>
      <c r="G462" s="41"/>
    </row>
    <row r="463" customFormat="false" ht="15" hidden="false" customHeight="false" outlineLevel="0" collapsed="false">
      <c r="D463" s="41"/>
      <c r="E463" s="41"/>
      <c r="G463" s="41"/>
    </row>
    <row r="464" customFormat="false" ht="15" hidden="false" customHeight="false" outlineLevel="0" collapsed="false">
      <c r="D464" s="41"/>
      <c r="E464" s="41"/>
      <c r="G464" s="41"/>
    </row>
    <row r="465" customFormat="false" ht="15" hidden="false" customHeight="false" outlineLevel="0" collapsed="false">
      <c r="D465" s="41"/>
      <c r="E465" s="41"/>
      <c r="G465" s="41"/>
    </row>
    <row r="466" customFormat="false" ht="15" hidden="false" customHeight="false" outlineLevel="0" collapsed="false">
      <c r="D466" s="41"/>
      <c r="E466" s="41"/>
      <c r="G466" s="41"/>
    </row>
    <row r="467" customFormat="false" ht="15" hidden="false" customHeight="false" outlineLevel="0" collapsed="false">
      <c r="D467" s="41"/>
      <c r="E467" s="41"/>
      <c r="G467" s="41"/>
    </row>
    <row r="468" customFormat="false" ht="15" hidden="false" customHeight="false" outlineLevel="0" collapsed="false">
      <c r="D468" s="41"/>
      <c r="E468" s="41"/>
      <c r="G468" s="41"/>
    </row>
    <row r="469" customFormat="false" ht="15" hidden="false" customHeight="false" outlineLevel="0" collapsed="false">
      <c r="D469" s="41"/>
      <c r="E469" s="41"/>
      <c r="G469" s="41"/>
    </row>
    <row r="470" customFormat="false" ht="15" hidden="false" customHeight="false" outlineLevel="0" collapsed="false">
      <c r="D470" s="41"/>
      <c r="E470" s="41"/>
      <c r="G470" s="41"/>
    </row>
    <row r="471" customFormat="false" ht="15" hidden="false" customHeight="false" outlineLevel="0" collapsed="false">
      <c r="D471" s="41"/>
      <c r="E471" s="41"/>
      <c r="G471" s="41"/>
    </row>
    <row r="472" customFormat="false" ht="15" hidden="false" customHeight="false" outlineLevel="0" collapsed="false">
      <c r="D472" s="41"/>
      <c r="E472" s="41"/>
      <c r="G472" s="41"/>
    </row>
    <row r="473" customFormat="false" ht="15" hidden="false" customHeight="false" outlineLevel="0" collapsed="false">
      <c r="D473" s="41"/>
      <c r="E473" s="41"/>
      <c r="G473" s="41"/>
    </row>
    <row r="474" customFormat="false" ht="15" hidden="false" customHeight="false" outlineLevel="0" collapsed="false">
      <c r="D474" s="41"/>
      <c r="E474" s="41"/>
      <c r="G474" s="41"/>
    </row>
    <row r="475" customFormat="false" ht="15" hidden="false" customHeight="false" outlineLevel="0" collapsed="false">
      <c r="D475" s="41"/>
      <c r="E475" s="41"/>
      <c r="G475" s="41"/>
    </row>
    <row r="476" customFormat="false" ht="15" hidden="false" customHeight="false" outlineLevel="0" collapsed="false">
      <c r="D476" s="41"/>
      <c r="E476" s="41"/>
      <c r="G476" s="41"/>
    </row>
    <row r="477" customFormat="false" ht="15" hidden="false" customHeight="false" outlineLevel="0" collapsed="false">
      <c r="D477" s="41"/>
      <c r="E477" s="41"/>
      <c r="G477" s="41"/>
    </row>
    <row r="478" customFormat="false" ht="15" hidden="false" customHeight="false" outlineLevel="0" collapsed="false">
      <c r="D478" s="41"/>
      <c r="E478" s="41"/>
      <c r="G478" s="41"/>
    </row>
    <row r="479" customFormat="false" ht="15" hidden="false" customHeight="false" outlineLevel="0" collapsed="false">
      <c r="D479" s="41"/>
      <c r="E479" s="41"/>
      <c r="G479" s="41"/>
    </row>
    <row r="480" customFormat="false" ht="15" hidden="false" customHeight="false" outlineLevel="0" collapsed="false">
      <c r="D480" s="41"/>
      <c r="E480" s="41"/>
      <c r="G480" s="41"/>
    </row>
    <row r="481" customFormat="false" ht="15" hidden="false" customHeight="false" outlineLevel="0" collapsed="false">
      <c r="D481" s="41"/>
      <c r="E481" s="41"/>
      <c r="G481" s="41"/>
    </row>
    <row r="482" customFormat="false" ht="15" hidden="false" customHeight="false" outlineLevel="0" collapsed="false">
      <c r="D482" s="41"/>
      <c r="E482" s="41"/>
      <c r="G482" s="41"/>
    </row>
    <row r="483" customFormat="false" ht="15" hidden="false" customHeight="false" outlineLevel="0" collapsed="false">
      <c r="D483" s="41"/>
      <c r="E483" s="41"/>
      <c r="G483" s="41"/>
    </row>
    <row r="484" customFormat="false" ht="15" hidden="false" customHeight="false" outlineLevel="0" collapsed="false">
      <c r="D484" s="41"/>
      <c r="E484" s="41"/>
      <c r="G484" s="41"/>
    </row>
    <row r="485" customFormat="false" ht="15" hidden="false" customHeight="false" outlineLevel="0" collapsed="false">
      <c r="D485" s="41"/>
      <c r="E485" s="41"/>
      <c r="G485" s="41"/>
    </row>
    <row r="486" customFormat="false" ht="15" hidden="false" customHeight="false" outlineLevel="0" collapsed="false">
      <c r="D486" s="41"/>
      <c r="E486" s="41"/>
      <c r="G486" s="41"/>
    </row>
    <row r="487" customFormat="false" ht="15" hidden="false" customHeight="false" outlineLevel="0" collapsed="false">
      <c r="D487" s="41"/>
      <c r="E487" s="41"/>
      <c r="G487" s="41"/>
    </row>
    <row r="488" customFormat="false" ht="15" hidden="false" customHeight="false" outlineLevel="0" collapsed="false">
      <c r="D488" s="41"/>
      <c r="E488" s="41"/>
      <c r="G488" s="41"/>
    </row>
    <row r="489" customFormat="false" ht="15" hidden="false" customHeight="false" outlineLevel="0" collapsed="false">
      <c r="D489" s="41"/>
      <c r="E489" s="41"/>
      <c r="G489" s="41"/>
    </row>
    <row r="490" customFormat="false" ht="15" hidden="false" customHeight="false" outlineLevel="0" collapsed="false">
      <c r="D490" s="41"/>
      <c r="E490" s="41"/>
      <c r="G490" s="41"/>
    </row>
    <row r="491" customFormat="false" ht="15" hidden="false" customHeight="false" outlineLevel="0" collapsed="false">
      <c r="D491" s="41"/>
      <c r="E491" s="41"/>
      <c r="G491" s="41"/>
    </row>
    <row r="492" customFormat="false" ht="15" hidden="false" customHeight="false" outlineLevel="0" collapsed="false">
      <c r="D492" s="41"/>
      <c r="E492" s="41"/>
      <c r="G492" s="41"/>
    </row>
    <row r="493" customFormat="false" ht="15" hidden="false" customHeight="false" outlineLevel="0" collapsed="false">
      <c r="D493" s="41"/>
      <c r="E493" s="41"/>
      <c r="G493" s="41"/>
    </row>
    <row r="494" customFormat="false" ht="15" hidden="false" customHeight="false" outlineLevel="0" collapsed="false">
      <c r="D494" s="41"/>
      <c r="E494" s="41"/>
      <c r="G494" s="41"/>
    </row>
    <row r="495" customFormat="false" ht="15" hidden="false" customHeight="false" outlineLevel="0" collapsed="false">
      <c r="D495" s="41"/>
      <c r="E495" s="41"/>
      <c r="G495" s="41"/>
    </row>
    <row r="496" customFormat="false" ht="15" hidden="false" customHeight="false" outlineLevel="0" collapsed="false">
      <c r="D496" s="41"/>
      <c r="E496" s="41"/>
      <c r="G496" s="41"/>
    </row>
    <row r="497" customFormat="false" ht="15" hidden="false" customHeight="false" outlineLevel="0" collapsed="false">
      <c r="D497" s="41"/>
      <c r="E497" s="41"/>
      <c r="G497" s="41"/>
    </row>
    <row r="498" customFormat="false" ht="15" hidden="false" customHeight="false" outlineLevel="0" collapsed="false">
      <c r="D498" s="41"/>
      <c r="E498" s="41"/>
      <c r="G498" s="41"/>
    </row>
    <row r="499" customFormat="false" ht="15" hidden="false" customHeight="false" outlineLevel="0" collapsed="false">
      <c r="D499" s="41"/>
      <c r="E499" s="41"/>
      <c r="G499" s="41"/>
    </row>
    <row r="500" customFormat="false" ht="15" hidden="false" customHeight="false" outlineLevel="0" collapsed="false">
      <c r="D500" s="41"/>
      <c r="E500" s="41"/>
      <c r="G500" s="41"/>
    </row>
  </sheetData>
  <autoFilter ref="A1:G200"/>
  <dataValidations count="3">
    <dataValidation allowBlank="true" error="Escolha um valor da lista." errorStyle="stop" errorTitle="Valor inválido" operator="equal" showDropDown="false" showErrorMessage="true" showInputMessage="false" sqref="D2:D500" type="list">
      <formula1>"Funcional,Degradado,Inoperante"</formula1>
      <formula2>0</formula2>
    </dataValidation>
    <dataValidation allowBlank="true" error="Escolha um valor da lista." errorStyle="stop" errorTitle="Valor inválido" operator="equal" showDropDown="false" showErrorMessage="true" showInputMessage="false" sqref="E2:E500" type="list">
      <formula1>"A,B,C,D"</formula1>
      <formula2>0</formula2>
    </dataValidation>
    <dataValidation allowBlank="true" error="Escolha um valor da lista." errorStyle="stop" errorTitle="Valor inválido" operator="equal" showDropDown="false" showErrorMessage="true" showInputMessage="false" sqref="G2:G500" type="list">
      <formula1>"Baixa,Média,Alta"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true" outlineLevel="0" max="8" min="8" style="0" width="22"/>
    <col collapsed="false" customWidth="true" hidden="false" outlineLevel="0" max="10" min="9" style="0" width="14"/>
  </cols>
  <sheetData>
    <row r="1" customFormat="false" ht="21.75" hidden="false" customHeight="true" outlineLevel="0" collapsed="false">
      <c r="A1" s="40" t="s">
        <v>54</v>
      </c>
      <c r="B1" s="40" t="s">
        <v>83</v>
      </c>
      <c r="C1" s="40" t="s">
        <v>156</v>
      </c>
      <c r="D1" s="40" t="s">
        <v>56</v>
      </c>
      <c r="E1" s="40" t="s">
        <v>57</v>
      </c>
      <c r="F1" s="40" t="s">
        <v>58</v>
      </c>
      <c r="G1" s="40" t="s">
        <v>59</v>
      </c>
      <c r="H1" s="40"/>
    </row>
    <row r="2" customFormat="false" ht="13.8" hidden="false" customHeight="false" outlineLevel="0" collapsed="false">
      <c r="A2" s="0" t="s">
        <v>157</v>
      </c>
      <c r="B2" s="0" t="s">
        <v>88</v>
      </c>
      <c r="C2" s="0" t="s">
        <v>158</v>
      </c>
      <c r="D2" s="0" t="s">
        <v>159</v>
      </c>
      <c r="E2" s="0" t="s">
        <v>160</v>
      </c>
      <c r="F2" s="0" t="n">
        <v>8</v>
      </c>
      <c r="G2" s="41" t="s">
        <v>161</v>
      </c>
      <c r="H2" s="0" t="str">
        <f aca="false">IF(OR($B2="",$B2&lt;&gt;PASSAPORTE!$B$4),"",COUNTIF($B$2:$B2,PASSAPORTE!$B$4))</f>
        <v/>
      </c>
    </row>
    <row r="3" customFormat="false" ht="13.8" hidden="false" customHeight="false" outlineLevel="0" collapsed="false">
      <c r="A3" s="0" t="s">
        <v>162</v>
      </c>
      <c r="B3" s="0" t="s">
        <v>88</v>
      </c>
      <c r="C3" s="0" t="s">
        <v>163</v>
      </c>
      <c r="D3" s="0" t="s">
        <v>159</v>
      </c>
      <c r="E3" s="0" t="s">
        <v>160</v>
      </c>
      <c r="F3" s="0" t="n">
        <v>7</v>
      </c>
      <c r="G3" s="41" t="s">
        <v>161</v>
      </c>
      <c r="H3" s="0" t="str">
        <f aca="false">IF(OR($B3="",$B3&lt;&gt;PASSAPORTE!$B$4),"",COUNTIF($B$2:$B3,PASSAPORTE!$B$4))</f>
        <v/>
      </c>
    </row>
    <row r="4" customFormat="false" ht="13.8" hidden="false" customHeight="false" outlineLevel="0" collapsed="false">
      <c r="A4" s="0" t="s">
        <v>164</v>
      </c>
      <c r="B4" s="0" t="s">
        <v>88</v>
      </c>
      <c r="C4" s="0" t="s">
        <v>165</v>
      </c>
      <c r="D4" s="0" t="s">
        <v>159</v>
      </c>
      <c r="E4" s="0" t="s">
        <v>160</v>
      </c>
      <c r="F4" s="0" t="n">
        <v>6</v>
      </c>
      <c r="G4" s="41" t="s">
        <v>161</v>
      </c>
      <c r="H4" s="0" t="str">
        <f aca="false">IF(OR($B4="",$B4&lt;&gt;PASSAPORTE!$B$4),"",COUNTIF($B$2:$B4,PASSAPORTE!$B$4))</f>
        <v/>
      </c>
    </row>
    <row r="5" customFormat="false" ht="13.8" hidden="false" customHeight="false" outlineLevel="0" collapsed="false">
      <c r="A5" s="0" t="s">
        <v>166</v>
      </c>
      <c r="B5" s="0" t="s">
        <v>88</v>
      </c>
      <c r="C5" s="0" t="s">
        <v>167</v>
      </c>
      <c r="D5" s="0" t="s">
        <v>159</v>
      </c>
      <c r="E5" s="0" t="s">
        <v>160</v>
      </c>
      <c r="F5" s="0" t="n">
        <v>6</v>
      </c>
      <c r="G5" s="41" t="s">
        <v>161</v>
      </c>
      <c r="H5" s="0" t="str">
        <f aca="false">IF(OR($B5="",$B5&lt;&gt;PASSAPORTE!$B$4),"",COUNTIF($B$2:$B5,PASSAPORTE!$B$4))</f>
        <v/>
      </c>
    </row>
    <row r="6" customFormat="false" ht="13.8" hidden="false" customHeight="false" outlineLevel="0" collapsed="false">
      <c r="A6" s="0" t="s">
        <v>168</v>
      </c>
      <c r="B6" s="0" t="s">
        <v>88</v>
      </c>
      <c r="C6" s="0" t="s">
        <v>169</v>
      </c>
      <c r="D6" s="0" t="s">
        <v>170</v>
      </c>
      <c r="E6" s="0" t="s">
        <v>160</v>
      </c>
      <c r="F6" s="0" t="n">
        <v>4</v>
      </c>
      <c r="G6" s="41" t="s">
        <v>161</v>
      </c>
      <c r="H6" s="0" t="str">
        <f aca="false">IF(OR($B6="",$B6&lt;&gt;PASSAPORTE!$B$4),"",COUNTIF($B$2:$B6,PASSAPORTE!$B$4))</f>
        <v/>
      </c>
    </row>
    <row r="7" customFormat="false" ht="13.8" hidden="false" customHeight="false" outlineLevel="0" collapsed="false">
      <c r="A7" s="0" t="s">
        <v>171</v>
      </c>
      <c r="B7" s="0" t="s">
        <v>88</v>
      </c>
      <c r="C7" s="0" t="s">
        <v>172</v>
      </c>
      <c r="D7" s="0" t="s">
        <v>170</v>
      </c>
      <c r="E7" s="0" t="s">
        <v>160</v>
      </c>
      <c r="F7" s="0" t="n">
        <v>3</v>
      </c>
      <c r="G7" s="41" t="s">
        <v>161</v>
      </c>
      <c r="H7" s="0" t="str">
        <f aca="false">IF(OR($B7="",$B7&lt;&gt;PASSAPORTE!$B$4),"",COUNTIF($B$2:$B7,PASSAPORTE!$B$4))</f>
        <v/>
      </c>
    </row>
    <row r="8" customFormat="false" ht="13.8" hidden="false" customHeight="false" outlineLevel="0" collapsed="false">
      <c r="A8" s="0" t="s">
        <v>173</v>
      </c>
      <c r="B8" s="0" t="s">
        <v>89</v>
      </c>
      <c r="C8" s="0" t="s">
        <v>158</v>
      </c>
      <c r="D8" s="0" t="s">
        <v>174</v>
      </c>
      <c r="E8" s="0" t="s">
        <v>160</v>
      </c>
      <c r="F8" s="0" t="n">
        <v>9</v>
      </c>
      <c r="G8" s="41" t="s">
        <v>161</v>
      </c>
      <c r="H8" s="0" t="str">
        <f aca="false">IF(OR($B8="",$B8&lt;&gt;PASSAPORTE!$B$4),"",COUNTIF($B$2:$B8,PASSAPORTE!$B$4))</f>
        <v/>
      </c>
    </row>
    <row r="9" customFormat="false" ht="13.8" hidden="false" customHeight="false" outlineLevel="0" collapsed="false">
      <c r="A9" s="0" t="s">
        <v>175</v>
      </c>
      <c r="B9" s="0" t="s">
        <v>89</v>
      </c>
      <c r="C9" s="0" t="s">
        <v>163</v>
      </c>
      <c r="D9" s="0" t="s">
        <v>174</v>
      </c>
      <c r="E9" s="0" t="s">
        <v>160</v>
      </c>
      <c r="F9" s="0" t="n">
        <v>9</v>
      </c>
      <c r="G9" s="41" t="s">
        <v>161</v>
      </c>
      <c r="H9" s="0" t="str">
        <f aca="false">IF(OR($B9="",$B9&lt;&gt;PASSAPORTE!$B$4),"",COUNTIF($B$2:$B9,PASSAPORTE!$B$4))</f>
        <v/>
      </c>
    </row>
    <row r="10" customFormat="false" ht="13.8" hidden="false" customHeight="false" outlineLevel="0" collapsed="false">
      <c r="A10" s="0" t="s">
        <v>176</v>
      </c>
      <c r="B10" s="0" t="s">
        <v>89</v>
      </c>
      <c r="C10" s="0" t="s">
        <v>165</v>
      </c>
      <c r="D10" s="0" t="s">
        <v>174</v>
      </c>
      <c r="E10" s="0" t="s">
        <v>160</v>
      </c>
      <c r="F10" s="0" t="n">
        <v>8</v>
      </c>
      <c r="G10" s="41" t="s">
        <v>161</v>
      </c>
      <c r="H10" s="0" t="str">
        <f aca="false">IF(OR($B10="",$B10&lt;&gt;PASSAPORTE!$B$4),"",COUNTIF($B$2:$B10,PASSAPORTE!$B$4))</f>
        <v/>
      </c>
    </row>
    <row r="11" customFormat="false" ht="13.8" hidden="false" customHeight="false" outlineLevel="0" collapsed="false">
      <c r="A11" s="0" t="s">
        <v>177</v>
      </c>
      <c r="B11" s="0" t="s">
        <v>89</v>
      </c>
      <c r="C11" s="0" t="s">
        <v>167</v>
      </c>
      <c r="D11" s="0" t="s">
        <v>174</v>
      </c>
      <c r="E11" s="0" t="s">
        <v>160</v>
      </c>
      <c r="F11" s="0" t="n">
        <v>8</v>
      </c>
      <c r="G11" s="41" t="s">
        <v>161</v>
      </c>
      <c r="H11" s="0" t="str">
        <f aca="false">IF(OR($B11="",$B11&lt;&gt;PASSAPORTE!$B$4),"",COUNTIF($B$2:$B11,PASSAPORTE!$B$4))</f>
        <v/>
      </c>
    </row>
    <row r="12" customFormat="false" ht="13.8" hidden="false" customHeight="false" outlineLevel="0" collapsed="false">
      <c r="A12" s="0" t="s">
        <v>178</v>
      </c>
      <c r="B12" s="0" t="s">
        <v>30</v>
      </c>
      <c r="C12" s="0" t="s">
        <v>158</v>
      </c>
      <c r="D12" s="0" t="s">
        <v>179</v>
      </c>
      <c r="E12" s="0" t="s">
        <v>180</v>
      </c>
      <c r="F12" s="0" t="n">
        <v>6</v>
      </c>
      <c r="G12" s="41" t="s">
        <v>161</v>
      </c>
      <c r="H12" s="0" t="n">
        <f aca="false">IF(OR($B12="",$B12&lt;&gt;PASSAPORTE!$B$4),"",COUNTIF($B$2:$B12,PASSAPORTE!$B$4))</f>
        <v>1</v>
      </c>
    </row>
    <row r="13" customFormat="false" ht="13.8" hidden="false" customHeight="false" outlineLevel="0" collapsed="false">
      <c r="A13" s="0" t="s">
        <v>181</v>
      </c>
      <c r="B13" s="0" t="s">
        <v>30</v>
      </c>
      <c r="C13" s="0" t="s">
        <v>163</v>
      </c>
      <c r="D13" s="0" t="s">
        <v>179</v>
      </c>
      <c r="E13" s="0" t="s">
        <v>180</v>
      </c>
      <c r="F13" s="0" t="n">
        <v>5</v>
      </c>
      <c r="G13" s="41" t="s">
        <v>161</v>
      </c>
      <c r="H13" s="0" t="n">
        <f aca="false">IF(OR($B13="",$B13&lt;&gt;PASSAPORTE!$B$4),"",COUNTIF($B$2:$B13,PASSAPORTE!$B$4))</f>
        <v>2</v>
      </c>
    </row>
    <row r="14" customFormat="false" ht="13.8" hidden="false" customHeight="false" outlineLevel="0" collapsed="false">
      <c r="A14" s="0" t="s">
        <v>182</v>
      </c>
      <c r="B14" s="0" t="s">
        <v>30</v>
      </c>
      <c r="C14" s="0" t="s">
        <v>165</v>
      </c>
      <c r="D14" s="0" t="s">
        <v>179</v>
      </c>
      <c r="E14" s="0" t="s">
        <v>180</v>
      </c>
      <c r="F14" s="0" t="n">
        <v>2</v>
      </c>
      <c r="G14" s="41" t="s">
        <v>183</v>
      </c>
      <c r="H14" s="0" t="n">
        <f aca="false">IF(OR($B14="",$B14&lt;&gt;PASSAPORTE!$B$4),"",COUNTIF($B$2:$B14,PASSAPORTE!$B$4))</f>
        <v>3</v>
      </c>
    </row>
    <row r="15" customFormat="false" ht="13.8" hidden="false" customHeight="false" outlineLevel="0" collapsed="false">
      <c r="A15" s="0" t="s">
        <v>184</v>
      </c>
      <c r="B15" s="0" t="s">
        <v>30</v>
      </c>
      <c r="C15" s="0" t="s">
        <v>167</v>
      </c>
      <c r="D15" s="0" t="s">
        <v>179</v>
      </c>
      <c r="E15" s="0" t="s">
        <v>180</v>
      </c>
      <c r="F15" s="0" t="n">
        <v>6</v>
      </c>
      <c r="G15" s="41" t="s">
        <v>161</v>
      </c>
      <c r="H15" s="0" t="n">
        <f aca="false">IF(OR($B15="",$B15&lt;&gt;PASSAPORTE!$B$4),"",COUNTIF($B$2:$B15,PASSAPORTE!$B$4))</f>
        <v>4</v>
      </c>
    </row>
    <row r="16" customFormat="false" ht="13.8" hidden="false" customHeight="false" outlineLevel="0" collapsed="false">
      <c r="A16" s="0" t="s">
        <v>185</v>
      </c>
      <c r="B16" s="0" t="s">
        <v>90</v>
      </c>
      <c r="C16" s="0" t="s">
        <v>186</v>
      </c>
      <c r="D16" s="0" t="s">
        <v>174</v>
      </c>
      <c r="E16" s="0" t="s">
        <v>160</v>
      </c>
      <c r="F16" s="0" t="n">
        <v>2</v>
      </c>
      <c r="G16" s="41" t="s">
        <v>183</v>
      </c>
      <c r="H16" s="0" t="str">
        <f aca="false">IF(OR($B16="",$B16&lt;&gt;PASSAPORTE!$B$4),"",COUNTIF($B$2:$B16,PASSAPORTE!$B$4))</f>
        <v/>
      </c>
    </row>
    <row r="17" customFormat="false" ht="13.8" hidden="false" customHeight="false" outlineLevel="0" collapsed="false">
      <c r="A17" s="0" t="s">
        <v>187</v>
      </c>
      <c r="B17" s="0" t="s">
        <v>90</v>
      </c>
      <c r="C17" s="0" t="s">
        <v>186</v>
      </c>
      <c r="D17" s="0" t="s">
        <v>174</v>
      </c>
      <c r="E17" s="0" t="s">
        <v>160</v>
      </c>
      <c r="F17" s="0" t="n">
        <v>3</v>
      </c>
      <c r="G17" s="41" t="s">
        <v>183</v>
      </c>
      <c r="H17" s="0" t="str">
        <f aca="false">IF(OR($B17="",$B17&lt;&gt;PASSAPORTE!$B$4),"",COUNTIF($B$2:$B17,PASSAPORTE!$B$4))</f>
        <v/>
      </c>
    </row>
    <row r="18" customFormat="false" ht="13.8" hidden="false" customHeight="false" outlineLevel="0" collapsed="false">
      <c r="A18" s="0" t="s">
        <v>188</v>
      </c>
      <c r="B18" s="0" t="s">
        <v>91</v>
      </c>
      <c r="C18" s="0" t="s">
        <v>158</v>
      </c>
      <c r="D18" s="0" t="s">
        <v>159</v>
      </c>
      <c r="E18" s="0" t="s">
        <v>189</v>
      </c>
      <c r="F18" s="0" t="n">
        <v>7</v>
      </c>
      <c r="G18" s="41" t="s">
        <v>161</v>
      </c>
      <c r="H18" s="42" t="str">
        <f aca="false">IF(OR($B18="",$B18&lt;&gt;PASSAPORTE!$B$4),"",COUNTIF($B$2:$B18,PASSAPORTE!$B$4))</f>
        <v/>
      </c>
    </row>
    <row r="19" customFormat="false" ht="13.8" hidden="false" customHeight="false" outlineLevel="0" collapsed="false">
      <c r="A19" s="0" t="s">
        <v>190</v>
      </c>
      <c r="B19" s="0" t="s">
        <v>91</v>
      </c>
      <c r="C19" s="0" t="s">
        <v>163</v>
      </c>
      <c r="D19" s="0" t="s">
        <v>159</v>
      </c>
      <c r="E19" s="0" t="s">
        <v>189</v>
      </c>
      <c r="F19" s="0" t="n">
        <v>6</v>
      </c>
      <c r="G19" s="41" t="s">
        <v>161</v>
      </c>
      <c r="H19" s="42" t="str">
        <f aca="false">IF(OR($B19="",$B19&lt;&gt;PASSAPORTE!$B$4),"",COUNTIF($B$2:$B19,PASSAPORTE!$B$4))</f>
        <v/>
      </c>
    </row>
    <row r="20" customFormat="false" ht="13.8" hidden="false" customHeight="false" outlineLevel="0" collapsed="false">
      <c r="A20" s="0" t="s">
        <v>191</v>
      </c>
      <c r="B20" s="0" t="s">
        <v>89</v>
      </c>
      <c r="C20" s="0" t="s">
        <v>186</v>
      </c>
      <c r="D20" s="0" t="s">
        <v>170</v>
      </c>
      <c r="E20" s="0" t="s">
        <v>160</v>
      </c>
      <c r="F20" s="0" t="n">
        <v>10</v>
      </c>
      <c r="G20" s="41" t="s">
        <v>192</v>
      </c>
      <c r="H20" s="0" t="str">
        <f aca="false">IF(OR($B20="",$B20&lt;&gt;PASSAPORTE!$B$4),"",COUNTIF($B$2:$B20,PASSAPORTE!$B$4))</f>
        <v/>
      </c>
    </row>
    <row r="21" customFormat="false" ht="13.8" hidden="false" customHeight="false" outlineLevel="0" collapsed="false">
      <c r="A21" s="0" t="s">
        <v>193</v>
      </c>
      <c r="B21" s="0" t="s">
        <v>88</v>
      </c>
      <c r="C21" s="0" t="s">
        <v>186</v>
      </c>
      <c r="D21" s="0" t="s">
        <v>159</v>
      </c>
      <c r="E21" s="0" t="s">
        <v>160</v>
      </c>
      <c r="F21" s="0" t="n">
        <v>9</v>
      </c>
      <c r="G21" s="41" t="s">
        <v>192</v>
      </c>
      <c r="H21" s="0" t="str">
        <f aca="false">IF(OR($B21="",$B21&lt;&gt;PASSAPORTE!$B$4),"",COUNTIF($B$2:$B21,PASSAPORTE!$B$4))</f>
        <v/>
      </c>
    </row>
    <row r="22" customFormat="false" ht="15" hidden="false" customHeight="false" outlineLevel="0" collapsed="false">
      <c r="G22" s="41"/>
    </row>
    <row r="23" customFormat="false" ht="15" hidden="false" customHeight="false" outlineLevel="0" collapsed="false">
      <c r="G23" s="41"/>
    </row>
    <row r="24" customFormat="false" ht="15" hidden="false" customHeight="false" outlineLevel="0" collapsed="false">
      <c r="G24" s="41"/>
    </row>
    <row r="25" customFormat="false" ht="15" hidden="false" customHeight="false" outlineLevel="0" collapsed="false">
      <c r="G25" s="41"/>
    </row>
    <row r="26" customFormat="false" ht="15" hidden="false" customHeight="false" outlineLevel="0" collapsed="false">
      <c r="G26" s="41"/>
    </row>
    <row r="27" customFormat="false" ht="15" hidden="false" customHeight="false" outlineLevel="0" collapsed="false">
      <c r="G27" s="41"/>
    </row>
    <row r="28" customFormat="false" ht="15" hidden="false" customHeight="false" outlineLevel="0" collapsed="false">
      <c r="G28" s="41"/>
    </row>
    <row r="29" customFormat="false" ht="15" hidden="false" customHeight="false" outlineLevel="0" collapsed="false">
      <c r="G29" s="41"/>
    </row>
    <row r="30" customFormat="false" ht="15" hidden="false" customHeight="false" outlineLevel="0" collapsed="false">
      <c r="G30" s="41"/>
    </row>
    <row r="31" customFormat="false" ht="15" hidden="false" customHeight="false" outlineLevel="0" collapsed="false">
      <c r="G31" s="41"/>
    </row>
    <row r="32" customFormat="false" ht="15" hidden="false" customHeight="false" outlineLevel="0" collapsed="false">
      <c r="G32" s="41"/>
    </row>
    <row r="33" customFormat="false" ht="15" hidden="false" customHeight="false" outlineLevel="0" collapsed="false">
      <c r="G33" s="41"/>
    </row>
    <row r="34" customFormat="false" ht="15" hidden="false" customHeight="false" outlineLevel="0" collapsed="false">
      <c r="G34" s="41"/>
    </row>
    <row r="35" customFormat="false" ht="15" hidden="false" customHeight="false" outlineLevel="0" collapsed="false">
      <c r="G35" s="41"/>
    </row>
    <row r="36" customFormat="false" ht="15" hidden="false" customHeight="false" outlineLevel="0" collapsed="false">
      <c r="G36" s="41"/>
    </row>
    <row r="37" customFormat="false" ht="15" hidden="false" customHeight="false" outlineLevel="0" collapsed="false">
      <c r="G37" s="41"/>
    </row>
    <row r="38" customFormat="false" ht="15" hidden="false" customHeight="false" outlineLevel="0" collapsed="false">
      <c r="G38" s="41"/>
    </row>
    <row r="39" customFormat="false" ht="15" hidden="false" customHeight="false" outlineLevel="0" collapsed="false">
      <c r="G39" s="41"/>
    </row>
    <row r="40" customFormat="false" ht="15" hidden="false" customHeight="false" outlineLevel="0" collapsed="false">
      <c r="G40" s="41"/>
    </row>
    <row r="41" customFormat="false" ht="15" hidden="false" customHeight="false" outlineLevel="0" collapsed="false">
      <c r="G41" s="41"/>
    </row>
    <row r="42" customFormat="false" ht="15" hidden="false" customHeight="false" outlineLevel="0" collapsed="false">
      <c r="G42" s="41"/>
    </row>
    <row r="43" customFormat="false" ht="15" hidden="false" customHeight="false" outlineLevel="0" collapsed="false">
      <c r="G43" s="41"/>
    </row>
    <row r="44" customFormat="false" ht="15" hidden="false" customHeight="false" outlineLevel="0" collapsed="false">
      <c r="G44" s="41"/>
    </row>
    <row r="45" customFormat="false" ht="15" hidden="false" customHeight="false" outlineLevel="0" collapsed="false">
      <c r="G45" s="41"/>
    </row>
    <row r="46" customFormat="false" ht="15" hidden="false" customHeight="false" outlineLevel="0" collapsed="false">
      <c r="G46" s="41"/>
    </row>
    <row r="47" customFormat="false" ht="15" hidden="false" customHeight="false" outlineLevel="0" collapsed="false">
      <c r="G47" s="41"/>
    </row>
    <row r="48" customFormat="false" ht="15" hidden="false" customHeight="false" outlineLevel="0" collapsed="false">
      <c r="G48" s="41"/>
    </row>
    <row r="49" customFormat="false" ht="15" hidden="false" customHeight="false" outlineLevel="0" collapsed="false">
      <c r="G49" s="41"/>
    </row>
    <row r="50" customFormat="false" ht="15" hidden="false" customHeight="false" outlineLevel="0" collapsed="false">
      <c r="G50" s="41"/>
    </row>
    <row r="51" customFormat="false" ht="15" hidden="false" customHeight="false" outlineLevel="0" collapsed="false">
      <c r="G51" s="41"/>
    </row>
    <row r="52" customFormat="false" ht="15" hidden="false" customHeight="false" outlineLevel="0" collapsed="false">
      <c r="G52" s="41"/>
    </row>
    <row r="53" customFormat="false" ht="15" hidden="false" customHeight="false" outlineLevel="0" collapsed="false">
      <c r="G53" s="41"/>
    </row>
    <row r="54" customFormat="false" ht="15" hidden="false" customHeight="false" outlineLevel="0" collapsed="false">
      <c r="G54" s="41"/>
    </row>
    <row r="55" customFormat="false" ht="15" hidden="false" customHeight="false" outlineLevel="0" collapsed="false">
      <c r="G55" s="41"/>
    </row>
    <row r="56" customFormat="false" ht="15" hidden="false" customHeight="false" outlineLevel="0" collapsed="false">
      <c r="G56" s="41"/>
    </row>
    <row r="57" customFormat="false" ht="15" hidden="false" customHeight="false" outlineLevel="0" collapsed="false">
      <c r="G57" s="41"/>
    </row>
    <row r="58" customFormat="false" ht="15" hidden="false" customHeight="false" outlineLevel="0" collapsed="false">
      <c r="G58" s="41"/>
    </row>
    <row r="59" customFormat="false" ht="15" hidden="false" customHeight="false" outlineLevel="0" collapsed="false">
      <c r="G59" s="41"/>
    </row>
    <row r="60" customFormat="false" ht="15" hidden="false" customHeight="false" outlineLevel="0" collapsed="false">
      <c r="G60" s="41"/>
    </row>
    <row r="61" customFormat="false" ht="15" hidden="false" customHeight="false" outlineLevel="0" collapsed="false">
      <c r="G61" s="41"/>
    </row>
    <row r="62" customFormat="false" ht="15" hidden="false" customHeight="false" outlineLevel="0" collapsed="false">
      <c r="G62" s="41"/>
    </row>
    <row r="63" customFormat="false" ht="15" hidden="false" customHeight="false" outlineLevel="0" collapsed="false">
      <c r="G63" s="41"/>
    </row>
    <row r="64" customFormat="false" ht="15" hidden="false" customHeight="false" outlineLevel="0" collapsed="false">
      <c r="G64" s="41"/>
    </row>
    <row r="65" customFormat="false" ht="15" hidden="false" customHeight="false" outlineLevel="0" collapsed="false">
      <c r="G65" s="41"/>
    </row>
    <row r="66" customFormat="false" ht="15" hidden="false" customHeight="false" outlineLevel="0" collapsed="false">
      <c r="G66" s="41"/>
    </row>
    <row r="67" customFormat="false" ht="15" hidden="false" customHeight="false" outlineLevel="0" collapsed="false">
      <c r="G67" s="41"/>
    </row>
    <row r="68" customFormat="false" ht="15" hidden="false" customHeight="false" outlineLevel="0" collapsed="false">
      <c r="G68" s="41"/>
    </row>
    <row r="69" customFormat="false" ht="15" hidden="false" customHeight="false" outlineLevel="0" collapsed="false">
      <c r="G69" s="41"/>
    </row>
    <row r="70" customFormat="false" ht="15" hidden="false" customHeight="false" outlineLevel="0" collapsed="false">
      <c r="G70" s="41"/>
    </row>
    <row r="71" customFormat="false" ht="15" hidden="false" customHeight="false" outlineLevel="0" collapsed="false">
      <c r="G71" s="41"/>
    </row>
    <row r="72" customFormat="false" ht="15" hidden="false" customHeight="false" outlineLevel="0" collapsed="false">
      <c r="G72" s="41"/>
    </row>
    <row r="73" customFormat="false" ht="15" hidden="false" customHeight="false" outlineLevel="0" collapsed="false">
      <c r="G73" s="41"/>
    </row>
    <row r="74" customFormat="false" ht="15" hidden="false" customHeight="false" outlineLevel="0" collapsed="false">
      <c r="G74" s="41"/>
    </row>
    <row r="75" customFormat="false" ht="15" hidden="false" customHeight="false" outlineLevel="0" collapsed="false">
      <c r="G75" s="41"/>
    </row>
    <row r="76" customFormat="false" ht="15" hidden="false" customHeight="false" outlineLevel="0" collapsed="false">
      <c r="G76" s="41"/>
    </row>
    <row r="77" customFormat="false" ht="15" hidden="false" customHeight="false" outlineLevel="0" collapsed="false">
      <c r="G77" s="41"/>
    </row>
    <row r="78" customFormat="false" ht="15" hidden="false" customHeight="false" outlineLevel="0" collapsed="false">
      <c r="G78" s="41"/>
    </row>
    <row r="79" customFormat="false" ht="15" hidden="false" customHeight="false" outlineLevel="0" collapsed="false">
      <c r="G79" s="41"/>
    </row>
    <row r="80" customFormat="false" ht="15" hidden="false" customHeight="false" outlineLevel="0" collapsed="false">
      <c r="G80" s="41"/>
    </row>
    <row r="81" customFormat="false" ht="15" hidden="false" customHeight="false" outlineLevel="0" collapsed="false">
      <c r="G81" s="41"/>
    </row>
    <row r="82" customFormat="false" ht="15" hidden="false" customHeight="false" outlineLevel="0" collapsed="false">
      <c r="G82" s="41"/>
    </row>
    <row r="83" customFormat="false" ht="15" hidden="false" customHeight="false" outlineLevel="0" collapsed="false">
      <c r="G83" s="41"/>
    </row>
    <row r="84" customFormat="false" ht="15" hidden="false" customHeight="false" outlineLevel="0" collapsed="false">
      <c r="G84" s="41"/>
    </row>
    <row r="85" customFormat="false" ht="15" hidden="false" customHeight="false" outlineLevel="0" collapsed="false">
      <c r="G85" s="41"/>
    </row>
    <row r="86" customFormat="false" ht="15" hidden="false" customHeight="false" outlineLevel="0" collapsed="false">
      <c r="G86" s="41"/>
    </row>
    <row r="87" customFormat="false" ht="15" hidden="false" customHeight="false" outlineLevel="0" collapsed="false">
      <c r="G87" s="41"/>
    </row>
    <row r="88" customFormat="false" ht="15" hidden="false" customHeight="false" outlineLevel="0" collapsed="false">
      <c r="G88" s="41"/>
    </row>
    <row r="89" customFormat="false" ht="15" hidden="false" customHeight="false" outlineLevel="0" collapsed="false">
      <c r="G89" s="41"/>
    </row>
    <row r="90" customFormat="false" ht="15" hidden="false" customHeight="false" outlineLevel="0" collapsed="false">
      <c r="G90" s="41"/>
    </row>
    <row r="91" customFormat="false" ht="15" hidden="false" customHeight="false" outlineLevel="0" collapsed="false">
      <c r="G91" s="41"/>
    </row>
    <row r="92" customFormat="false" ht="15" hidden="false" customHeight="false" outlineLevel="0" collapsed="false">
      <c r="G92" s="41"/>
    </row>
    <row r="93" customFormat="false" ht="15" hidden="false" customHeight="false" outlineLevel="0" collapsed="false">
      <c r="G93" s="41"/>
    </row>
    <row r="94" customFormat="false" ht="15" hidden="false" customHeight="false" outlineLevel="0" collapsed="false">
      <c r="G94" s="41"/>
    </row>
    <row r="95" customFormat="false" ht="15" hidden="false" customHeight="false" outlineLevel="0" collapsed="false">
      <c r="G95" s="41"/>
    </row>
    <row r="96" customFormat="false" ht="15" hidden="false" customHeight="false" outlineLevel="0" collapsed="false">
      <c r="G96" s="41"/>
    </row>
    <row r="97" customFormat="false" ht="15" hidden="false" customHeight="false" outlineLevel="0" collapsed="false">
      <c r="G97" s="41"/>
    </row>
    <row r="98" customFormat="false" ht="15" hidden="false" customHeight="false" outlineLevel="0" collapsed="false">
      <c r="G98" s="41"/>
    </row>
    <row r="99" customFormat="false" ht="15" hidden="false" customHeight="false" outlineLevel="0" collapsed="false">
      <c r="G99" s="41"/>
    </row>
    <row r="100" customFormat="false" ht="15" hidden="false" customHeight="false" outlineLevel="0" collapsed="false">
      <c r="G100" s="41"/>
    </row>
    <row r="101" customFormat="false" ht="15" hidden="false" customHeight="false" outlineLevel="0" collapsed="false">
      <c r="G101" s="41"/>
    </row>
    <row r="102" customFormat="false" ht="15" hidden="false" customHeight="false" outlineLevel="0" collapsed="false">
      <c r="G102" s="41"/>
    </row>
    <row r="103" customFormat="false" ht="15" hidden="false" customHeight="false" outlineLevel="0" collapsed="false">
      <c r="G103" s="41"/>
    </row>
    <row r="104" customFormat="false" ht="15" hidden="false" customHeight="false" outlineLevel="0" collapsed="false">
      <c r="G104" s="41"/>
    </row>
    <row r="105" customFormat="false" ht="15" hidden="false" customHeight="false" outlineLevel="0" collapsed="false">
      <c r="G105" s="41"/>
    </row>
    <row r="106" customFormat="false" ht="15" hidden="false" customHeight="false" outlineLevel="0" collapsed="false">
      <c r="G106" s="41"/>
    </row>
    <row r="107" customFormat="false" ht="15" hidden="false" customHeight="false" outlineLevel="0" collapsed="false">
      <c r="G107" s="41"/>
    </row>
    <row r="108" customFormat="false" ht="15" hidden="false" customHeight="false" outlineLevel="0" collapsed="false">
      <c r="G108" s="41"/>
    </row>
    <row r="109" customFormat="false" ht="15" hidden="false" customHeight="false" outlineLevel="0" collapsed="false">
      <c r="G109" s="41"/>
    </row>
    <row r="110" customFormat="false" ht="15" hidden="false" customHeight="false" outlineLevel="0" collapsed="false">
      <c r="G110" s="41"/>
    </row>
    <row r="111" customFormat="false" ht="15" hidden="false" customHeight="false" outlineLevel="0" collapsed="false">
      <c r="G111" s="41"/>
    </row>
    <row r="112" customFormat="false" ht="15" hidden="false" customHeight="false" outlineLevel="0" collapsed="false">
      <c r="G112" s="41"/>
    </row>
    <row r="113" customFormat="false" ht="15" hidden="false" customHeight="false" outlineLevel="0" collapsed="false">
      <c r="G113" s="41"/>
    </row>
    <row r="114" customFormat="false" ht="15" hidden="false" customHeight="false" outlineLevel="0" collapsed="false">
      <c r="G114" s="41"/>
    </row>
    <row r="115" customFormat="false" ht="15" hidden="false" customHeight="false" outlineLevel="0" collapsed="false">
      <c r="G115" s="41"/>
    </row>
    <row r="116" customFormat="false" ht="15" hidden="false" customHeight="false" outlineLevel="0" collapsed="false">
      <c r="G116" s="41"/>
    </row>
    <row r="117" customFormat="false" ht="15" hidden="false" customHeight="false" outlineLevel="0" collapsed="false">
      <c r="G117" s="41"/>
    </row>
    <row r="118" customFormat="false" ht="15" hidden="false" customHeight="false" outlineLevel="0" collapsed="false">
      <c r="G118" s="41"/>
    </row>
    <row r="119" customFormat="false" ht="15" hidden="false" customHeight="false" outlineLevel="0" collapsed="false">
      <c r="G119" s="41"/>
    </row>
    <row r="120" customFormat="false" ht="15" hidden="false" customHeight="false" outlineLevel="0" collapsed="false">
      <c r="G120" s="41"/>
    </row>
    <row r="121" customFormat="false" ht="15" hidden="false" customHeight="false" outlineLevel="0" collapsed="false">
      <c r="G121" s="41"/>
    </row>
    <row r="122" customFormat="false" ht="15" hidden="false" customHeight="false" outlineLevel="0" collapsed="false">
      <c r="G122" s="41"/>
    </row>
    <row r="123" customFormat="false" ht="15" hidden="false" customHeight="false" outlineLevel="0" collapsed="false">
      <c r="G123" s="41"/>
    </row>
    <row r="124" customFormat="false" ht="15" hidden="false" customHeight="false" outlineLevel="0" collapsed="false">
      <c r="G124" s="41"/>
    </row>
    <row r="125" customFormat="false" ht="15" hidden="false" customHeight="false" outlineLevel="0" collapsed="false">
      <c r="G125" s="41"/>
    </row>
    <row r="126" customFormat="false" ht="15" hidden="false" customHeight="false" outlineLevel="0" collapsed="false">
      <c r="G126" s="41"/>
    </row>
    <row r="127" customFormat="false" ht="15" hidden="false" customHeight="false" outlineLevel="0" collapsed="false">
      <c r="G127" s="41"/>
    </row>
    <row r="128" customFormat="false" ht="15" hidden="false" customHeight="false" outlineLevel="0" collapsed="false">
      <c r="G128" s="41"/>
    </row>
    <row r="129" customFormat="false" ht="15" hidden="false" customHeight="false" outlineLevel="0" collapsed="false">
      <c r="G129" s="41"/>
    </row>
    <row r="130" customFormat="false" ht="15" hidden="false" customHeight="false" outlineLevel="0" collapsed="false">
      <c r="G130" s="41"/>
    </row>
    <row r="131" customFormat="false" ht="15" hidden="false" customHeight="false" outlineLevel="0" collapsed="false">
      <c r="G131" s="41"/>
    </row>
    <row r="132" customFormat="false" ht="15" hidden="false" customHeight="false" outlineLevel="0" collapsed="false">
      <c r="G132" s="41"/>
    </row>
    <row r="133" customFormat="false" ht="15" hidden="false" customHeight="false" outlineLevel="0" collapsed="false">
      <c r="G133" s="41"/>
    </row>
    <row r="134" customFormat="false" ht="15" hidden="false" customHeight="false" outlineLevel="0" collapsed="false">
      <c r="G134" s="41"/>
    </row>
    <row r="135" customFormat="false" ht="15" hidden="false" customHeight="false" outlineLevel="0" collapsed="false">
      <c r="G135" s="41"/>
    </row>
    <row r="136" customFormat="false" ht="15" hidden="false" customHeight="false" outlineLevel="0" collapsed="false">
      <c r="G136" s="41"/>
    </row>
    <row r="137" customFormat="false" ht="15" hidden="false" customHeight="false" outlineLevel="0" collapsed="false">
      <c r="G137" s="41"/>
    </row>
    <row r="138" customFormat="false" ht="15" hidden="false" customHeight="false" outlineLevel="0" collapsed="false">
      <c r="G138" s="41"/>
    </row>
    <row r="139" customFormat="false" ht="15" hidden="false" customHeight="false" outlineLevel="0" collapsed="false">
      <c r="G139" s="41"/>
    </row>
    <row r="140" customFormat="false" ht="15" hidden="false" customHeight="false" outlineLevel="0" collapsed="false">
      <c r="G140" s="41"/>
    </row>
    <row r="141" customFormat="false" ht="15" hidden="false" customHeight="false" outlineLevel="0" collapsed="false">
      <c r="G141" s="41"/>
    </row>
    <row r="142" customFormat="false" ht="15" hidden="false" customHeight="false" outlineLevel="0" collapsed="false">
      <c r="G142" s="41"/>
    </row>
    <row r="143" customFormat="false" ht="15" hidden="false" customHeight="false" outlineLevel="0" collapsed="false">
      <c r="G143" s="41"/>
    </row>
    <row r="144" customFormat="false" ht="15" hidden="false" customHeight="false" outlineLevel="0" collapsed="false">
      <c r="G144" s="41"/>
    </row>
    <row r="145" customFormat="false" ht="15" hidden="false" customHeight="false" outlineLevel="0" collapsed="false">
      <c r="G145" s="41"/>
    </row>
    <row r="146" customFormat="false" ht="15" hidden="false" customHeight="false" outlineLevel="0" collapsed="false">
      <c r="G146" s="41"/>
    </row>
    <row r="147" customFormat="false" ht="15" hidden="false" customHeight="false" outlineLevel="0" collapsed="false">
      <c r="G147" s="41"/>
    </row>
    <row r="148" customFormat="false" ht="15" hidden="false" customHeight="false" outlineLevel="0" collapsed="false">
      <c r="G148" s="41"/>
    </row>
    <row r="149" customFormat="false" ht="15" hidden="false" customHeight="false" outlineLevel="0" collapsed="false">
      <c r="G149" s="41"/>
    </row>
    <row r="150" customFormat="false" ht="15" hidden="false" customHeight="false" outlineLevel="0" collapsed="false">
      <c r="G150" s="41"/>
    </row>
    <row r="151" customFormat="false" ht="15" hidden="false" customHeight="false" outlineLevel="0" collapsed="false">
      <c r="G151" s="41"/>
    </row>
    <row r="152" customFormat="false" ht="15" hidden="false" customHeight="false" outlineLevel="0" collapsed="false">
      <c r="G152" s="41"/>
    </row>
    <row r="153" customFormat="false" ht="15" hidden="false" customHeight="false" outlineLevel="0" collapsed="false">
      <c r="G153" s="41"/>
    </row>
    <row r="154" customFormat="false" ht="15" hidden="false" customHeight="false" outlineLevel="0" collapsed="false">
      <c r="G154" s="41"/>
    </row>
    <row r="155" customFormat="false" ht="15" hidden="false" customHeight="false" outlineLevel="0" collapsed="false">
      <c r="G155" s="41"/>
    </row>
    <row r="156" customFormat="false" ht="15" hidden="false" customHeight="false" outlineLevel="0" collapsed="false">
      <c r="G156" s="41"/>
    </row>
    <row r="157" customFormat="false" ht="15" hidden="false" customHeight="false" outlineLevel="0" collapsed="false">
      <c r="G157" s="41"/>
    </row>
    <row r="158" customFormat="false" ht="15" hidden="false" customHeight="false" outlineLevel="0" collapsed="false">
      <c r="G158" s="41"/>
    </row>
    <row r="159" customFormat="false" ht="15" hidden="false" customHeight="false" outlineLevel="0" collapsed="false">
      <c r="G159" s="41"/>
    </row>
    <row r="160" customFormat="false" ht="15" hidden="false" customHeight="false" outlineLevel="0" collapsed="false">
      <c r="G160" s="41"/>
    </row>
    <row r="161" customFormat="false" ht="15" hidden="false" customHeight="false" outlineLevel="0" collapsed="false">
      <c r="G161" s="41"/>
    </row>
    <row r="162" customFormat="false" ht="15" hidden="false" customHeight="false" outlineLevel="0" collapsed="false">
      <c r="G162" s="41"/>
    </row>
    <row r="163" customFormat="false" ht="15" hidden="false" customHeight="false" outlineLevel="0" collapsed="false">
      <c r="G163" s="41"/>
    </row>
    <row r="164" customFormat="false" ht="15" hidden="false" customHeight="false" outlineLevel="0" collapsed="false">
      <c r="G164" s="41"/>
    </row>
    <row r="165" customFormat="false" ht="15" hidden="false" customHeight="false" outlineLevel="0" collapsed="false">
      <c r="G165" s="41"/>
    </row>
    <row r="166" customFormat="false" ht="15" hidden="false" customHeight="false" outlineLevel="0" collapsed="false">
      <c r="G166" s="41"/>
    </row>
    <row r="167" customFormat="false" ht="15" hidden="false" customHeight="false" outlineLevel="0" collapsed="false">
      <c r="G167" s="41"/>
    </row>
    <row r="168" customFormat="false" ht="15" hidden="false" customHeight="false" outlineLevel="0" collapsed="false">
      <c r="G168" s="41"/>
    </row>
    <row r="169" customFormat="false" ht="15" hidden="false" customHeight="false" outlineLevel="0" collapsed="false">
      <c r="G169" s="41"/>
    </row>
    <row r="170" customFormat="false" ht="15" hidden="false" customHeight="false" outlineLevel="0" collapsed="false">
      <c r="G170" s="41"/>
    </row>
    <row r="171" customFormat="false" ht="15" hidden="false" customHeight="false" outlineLevel="0" collapsed="false">
      <c r="G171" s="41"/>
    </row>
    <row r="172" customFormat="false" ht="15" hidden="false" customHeight="false" outlineLevel="0" collapsed="false">
      <c r="G172" s="41"/>
    </row>
    <row r="173" customFormat="false" ht="15" hidden="false" customHeight="false" outlineLevel="0" collapsed="false">
      <c r="G173" s="41"/>
    </row>
    <row r="174" customFormat="false" ht="15" hidden="false" customHeight="false" outlineLevel="0" collapsed="false">
      <c r="G174" s="41"/>
    </row>
    <row r="175" customFormat="false" ht="15" hidden="false" customHeight="false" outlineLevel="0" collapsed="false">
      <c r="G175" s="41"/>
    </row>
    <row r="176" customFormat="false" ht="15" hidden="false" customHeight="false" outlineLevel="0" collapsed="false">
      <c r="G176" s="41"/>
    </row>
    <row r="177" customFormat="false" ht="15" hidden="false" customHeight="false" outlineLevel="0" collapsed="false">
      <c r="G177" s="41"/>
    </row>
    <row r="178" customFormat="false" ht="15" hidden="false" customHeight="false" outlineLevel="0" collapsed="false">
      <c r="G178" s="41"/>
    </row>
    <row r="179" customFormat="false" ht="15" hidden="false" customHeight="false" outlineLevel="0" collapsed="false">
      <c r="G179" s="41"/>
    </row>
    <row r="180" customFormat="false" ht="15" hidden="false" customHeight="false" outlineLevel="0" collapsed="false">
      <c r="G180" s="41"/>
    </row>
    <row r="181" customFormat="false" ht="15" hidden="false" customHeight="false" outlineLevel="0" collapsed="false">
      <c r="G181" s="41"/>
    </row>
    <row r="182" customFormat="false" ht="15" hidden="false" customHeight="false" outlineLevel="0" collapsed="false">
      <c r="G182" s="41"/>
    </row>
    <row r="183" customFormat="false" ht="15" hidden="false" customHeight="false" outlineLevel="0" collapsed="false">
      <c r="G183" s="41"/>
    </row>
    <row r="184" customFormat="false" ht="15" hidden="false" customHeight="false" outlineLevel="0" collapsed="false">
      <c r="G184" s="41"/>
    </row>
    <row r="185" customFormat="false" ht="15" hidden="false" customHeight="false" outlineLevel="0" collapsed="false">
      <c r="G185" s="41"/>
    </row>
    <row r="186" customFormat="false" ht="15" hidden="false" customHeight="false" outlineLevel="0" collapsed="false">
      <c r="G186" s="41"/>
    </row>
    <row r="187" customFormat="false" ht="15" hidden="false" customHeight="false" outlineLevel="0" collapsed="false">
      <c r="G187" s="41"/>
    </row>
    <row r="188" customFormat="false" ht="15" hidden="false" customHeight="false" outlineLevel="0" collapsed="false">
      <c r="G188" s="41"/>
    </row>
    <row r="189" customFormat="false" ht="15" hidden="false" customHeight="false" outlineLevel="0" collapsed="false">
      <c r="G189" s="41"/>
    </row>
    <row r="190" customFormat="false" ht="15" hidden="false" customHeight="false" outlineLevel="0" collapsed="false">
      <c r="G190" s="41"/>
    </row>
    <row r="191" customFormat="false" ht="15" hidden="false" customHeight="false" outlineLevel="0" collapsed="false">
      <c r="G191" s="41"/>
    </row>
    <row r="192" customFormat="false" ht="15" hidden="false" customHeight="false" outlineLevel="0" collapsed="false">
      <c r="G192" s="41"/>
    </row>
    <row r="193" customFormat="false" ht="15" hidden="false" customHeight="false" outlineLevel="0" collapsed="false">
      <c r="G193" s="41"/>
    </row>
    <row r="194" customFormat="false" ht="15" hidden="false" customHeight="false" outlineLevel="0" collapsed="false">
      <c r="G194" s="41"/>
    </row>
    <row r="195" customFormat="false" ht="15" hidden="false" customHeight="false" outlineLevel="0" collapsed="false">
      <c r="G195" s="41"/>
    </row>
    <row r="196" customFormat="false" ht="15" hidden="false" customHeight="false" outlineLevel="0" collapsed="false">
      <c r="G196" s="41"/>
    </row>
    <row r="197" customFormat="false" ht="15" hidden="false" customHeight="false" outlineLevel="0" collapsed="false">
      <c r="G197" s="41"/>
    </row>
    <row r="198" customFormat="false" ht="15" hidden="false" customHeight="false" outlineLevel="0" collapsed="false">
      <c r="G198" s="41"/>
    </row>
    <row r="199" customFormat="false" ht="15" hidden="false" customHeight="false" outlineLevel="0" collapsed="false">
      <c r="G199" s="41"/>
    </row>
    <row r="200" customFormat="false" ht="15" hidden="false" customHeight="false" outlineLevel="0" collapsed="false">
      <c r="G200" s="41"/>
    </row>
    <row r="201" customFormat="false" ht="15" hidden="false" customHeight="false" outlineLevel="0" collapsed="false">
      <c r="G201" s="41"/>
    </row>
    <row r="202" customFormat="false" ht="15" hidden="false" customHeight="false" outlineLevel="0" collapsed="false">
      <c r="G202" s="41"/>
    </row>
    <row r="203" customFormat="false" ht="15" hidden="false" customHeight="false" outlineLevel="0" collapsed="false">
      <c r="G203" s="41"/>
    </row>
    <row r="204" customFormat="false" ht="15" hidden="false" customHeight="false" outlineLevel="0" collapsed="false">
      <c r="G204" s="41"/>
    </row>
    <row r="205" customFormat="false" ht="15" hidden="false" customHeight="false" outlineLevel="0" collapsed="false">
      <c r="G205" s="41"/>
    </row>
    <row r="206" customFormat="false" ht="15" hidden="false" customHeight="false" outlineLevel="0" collapsed="false">
      <c r="G206" s="41"/>
    </row>
    <row r="207" customFormat="false" ht="15" hidden="false" customHeight="false" outlineLevel="0" collapsed="false">
      <c r="G207" s="41"/>
    </row>
    <row r="208" customFormat="false" ht="15" hidden="false" customHeight="false" outlineLevel="0" collapsed="false">
      <c r="G208" s="41"/>
    </row>
    <row r="209" customFormat="false" ht="15" hidden="false" customHeight="false" outlineLevel="0" collapsed="false">
      <c r="G209" s="41"/>
    </row>
    <row r="210" customFormat="false" ht="15" hidden="false" customHeight="false" outlineLevel="0" collapsed="false">
      <c r="G210" s="41"/>
    </row>
    <row r="211" customFormat="false" ht="15" hidden="false" customHeight="false" outlineLevel="0" collapsed="false">
      <c r="G211" s="41"/>
    </row>
    <row r="212" customFormat="false" ht="15" hidden="false" customHeight="false" outlineLevel="0" collapsed="false">
      <c r="G212" s="41"/>
    </row>
    <row r="213" customFormat="false" ht="15" hidden="false" customHeight="false" outlineLevel="0" collapsed="false">
      <c r="G213" s="41"/>
    </row>
    <row r="214" customFormat="false" ht="15" hidden="false" customHeight="false" outlineLevel="0" collapsed="false">
      <c r="G214" s="41"/>
    </row>
    <row r="215" customFormat="false" ht="15" hidden="false" customHeight="false" outlineLevel="0" collapsed="false">
      <c r="G215" s="41"/>
    </row>
    <row r="216" customFormat="false" ht="15" hidden="false" customHeight="false" outlineLevel="0" collapsed="false">
      <c r="G216" s="41"/>
    </row>
    <row r="217" customFormat="false" ht="15" hidden="false" customHeight="false" outlineLevel="0" collapsed="false">
      <c r="G217" s="41"/>
    </row>
    <row r="218" customFormat="false" ht="15" hidden="false" customHeight="false" outlineLevel="0" collapsed="false">
      <c r="G218" s="41"/>
    </row>
    <row r="219" customFormat="false" ht="15" hidden="false" customHeight="false" outlineLevel="0" collapsed="false">
      <c r="G219" s="41"/>
    </row>
    <row r="220" customFormat="false" ht="15" hidden="false" customHeight="false" outlineLevel="0" collapsed="false">
      <c r="G220" s="41"/>
    </row>
    <row r="221" customFormat="false" ht="15" hidden="false" customHeight="false" outlineLevel="0" collapsed="false">
      <c r="G221" s="41"/>
    </row>
    <row r="222" customFormat="false" ht="15" hidden="false" customHeight="false" outlineLevel="0" collapsed="false">
      <c r="G222" s="41"/>
    </row>
    <row r="223" customFormat="false" ht="15" hidden="false" customHeight="false" outlineLevel="0" collapsed="false">
      <c r="G223" s="41"/>
    </row>
    <row r="224" customFormat="false" ht="15" hidden="false" customHeight="false" outlineLevel="0" collapsed="false">
      <c r="G224" s="41"/>
    </row>
    <row r="225" customFormat="false" ht="15" hidden="false" customHeight="false" outlineLevel="0" collapsed="false">
      <c r="G225" s="41"/>
    </row>
    <row r="226" customFormat="false" ht="15" hidden="false" customHeight="false" outlineLevel="0" collapsed="false">
      <c r="G226" s="41"/>
    </row>
    <row r="227" customFormat="false" ht="15" hidden="false" customHeight="false" outlineLevel="0" collapsed="false">
      <c r="G227" s="41"/>
    </row>
    <row r="228" customFormat="false" ht="15" hidden="false" customHeight="false" outlineLevel="0" collapsed="false">
      <c r="G228" s="41"/>
    </row>
    <row r="229" customFormat="false" ht="15" hidden="false" customHeight="false" outlineLevel="0" collapsed="false">
      <c r="G229" s="41"/>
    </row>
    <row r="230" customFormat="false" ht="15" hidden="false" customHeight="false" outlineLevel="0" collapsed="false">
      <c r="G230" s="41"/>
    </row>
    <row r="231" customFormat="false" ht="15" hidden="false" customHeight="false" outlineLevel="0" collapsed="false">
      <c r="G231" s="41"/>
    </row>
    <row r="232" customFormat="false" ht="15" hidden="false" customHeight="false" outlineLevel="0" collapsed="false">
      <c r="G232" s="41"/>
    </row>
    <row r="233" customFormat="false" ht="15" hidden="false" customHeight="false" outlineLevel="0" collapsed="false">
      <c r="G233" s="41"/>
    </row>
    <row r="234" customFormat="false" ht="15" hidden="false" customHeight="false" outlineLevel="0" collapsed="false">
      <c r="G234" s="41"/>
    </row>
    <row r="235" customFormat="false" ht="15" hidden="false" customHeight="false" outlineLevel="0" collapsed="false">
      <c r="G235" s="41"/>
    </row>
    <row r="236" customFormat="false" ht="15" hidden="false" customHeight="false" outlineLevel="0" collapsed="false">
      <c r="G236" s="41"/>
    </row>
    <row r="237" customFormat="false" ht="15" hidden="false" customHeight="false" outlineLevel="0" collapsed="false">
      <c r="G237" s="41"/>
    </row>
    <row r="238" customFormat="false" ht="15" hidden="false" customHeight="false" outlineLevel="0" collapsed="false">
      <c r="G238" s="41"/>
    </row>
    <row r="239" customFormat="false" ht="15" hidden="false" customHeight="false" outlineLevel="0" collapsed="false">
      <c r="G239" s="41"/>
    </row>
    <row r="240" customFormat="false" ht="15" hidden="false" customHeight="false" outlineLevel="0" collapsed="false">
      <c r="G240" s="41"/>
    </row>
    <row r="241" customFormat="false" ht="15" hidden="false" customHeight="false" outlineLevel="0" collapsed="false">
      <c r="G241" s="41"/>
    </row>
    <row r="242" customFormat="false" ht="15" hidden="false" customHeight="false" outlineLevel="0" collapsed="false">
      <c r="G242" s="41"/>
    </row>
    <row r="243" customFormat="false" ht="15" hidden="false" customHeight="false" outlineLevel="0" collapsed="false">
      <c r="G243" s="41"/>
    </row>
    <row r="244" customFormat="false" ht="15" hidden="false" customHeight="false" outlineLevel="0" collapsed="false">
      <c r="G244" s="41"/>
    </row>
    <row r="245" customFormat="false" ht="15" hidden="false" customHeight="false" outlineLevel="0" collapsed="false">
      <c r="G245" s="41"/>
    </row>
    <row r="246" customFormat="false" ht="15" hidden="false" customHeight="false" outlineLevel="0" collapsed="false">
      <c r="G246" s="41"/>
    </row>
    <row r="247" customFormat="false" ht="15" hidden="false" customHeight="false" outlineLevel="0" collapsed="false">
      <c r="G247" s="41"/>
    </row>
    <row r="248" customFormat="false" ht="15" hidden="false" customHeight="false" outlineLevel="0" collapsed="false">
      <c r="G248" s="41"/>
    </row>
    <row r="249" customFormat="false" ht="15" hidden="false" customHeight="false" outlineLevel="0" collapsed="false">
      <c r="G249" s="41"/>
    </row>
    <row r="250" customFormat="false" ht="15" hidden="false" customHeight="false" outlineLevel="0" collapsed="false">
      <c r="G250" s="41"/>
    </row>
    <row r="251" customFormat="false" ht="15" hidden="false" customHeight="false" outlineLevel="0" collapsed="false">
      <c r="G251" s="41"/>
    </row>
    <row r="252" customFormat="false" ht="15" hidden="false" customHeight="false" outlineLevel="0" collapsed="false">
      <c r="G252" s="41"/>
    </row>
    <row r="253" customFormat="false" ht="15" hidden="false" customHeight="false" outlineLevel="0" collapsed="false">
      <c r="G253" s="41"/>
    </row>
    <row r="254" customFormat="false" ht="15" hidden="false" customHeight="false" outlineLevel="0" collapsed="false">
      <c r="G254" s="41"/>
    </row>
    <row r="255" customFormat="false" ht="15" hidden="false" customHeight="false" outlineLevel="0" collapsed="false">
      <c r="G255" s="41"/>
    </row>
    <row r="256" customFormat="false" ht="15" hidden="false" customHeight="false" outlineLevel="0" collapsed="false">
      <c r="G256" s="41"/>
    </row>
    <row r="257" customFormat="false" ht="15" hidden="false" customHeight="false" outlineLevel="0" collapsed="false">
      <c r="G257" s="41"/>
    </row>
    <row r="258" customFormat="false" ht="15" hidden="false" customHeight="false" outlineLevel="0" collapsed="false">
      <c r="G258" s="41"/>
    </row>
    <row r="259" customFormat="false" ht="15" hidden="false" customHeight="false" outlineLevel="0" collapsed="false">
      <c r="G259" s="41"/>
    </row>
    <row r="260" customFormat="false" ht="15" hidden="false" customHeight="false" outlineLevel="0" collapsed="false">
      <c r="G260" s="41"/>
    </row>
    <row r="261" customFormat="false" ht="15" hidden="false" customHeight="false" outlineLevel="0" collapsed="false">
      <c r="G261" s="41"/>
    </row>
    <row r="262" customFormat="false" ht="15" hidden="false" customHeight="false" outlineLevel="0" collapsed="false">
      <c r="G262" s="41"/>
    </row>
    <row r="263" customFormat="false" ht="15" hidden="false" customHeight="false" outlineLevel="0" collapsed="false">
      <c r="G263" s="41"/>
    </row>
    <row r="264" customFormat="false" ht="15" hidden="false" customHeight="false" outlineLevel="0" collapsed="false">
      <c r="G264" s="41"/>
    </row>
    <row r="265" customFormat="false" ht="15" hidden="false" customHeight="false" outlineLevel="0" collapsed="false">
      <c r="G265" s="41"/>
    </row>
    <row r="266" customFormat="false" ht="15" hidden="false" customHeight="false" outlineLevel="0" collapsed="false">
      <c r="G266" s="41"/>
    </row>
    <row r="267" customFormat="false" ht="15" hidden="false" customHeight="false" outlineLevel="0" collapsed="false">
      <c r="G267" s="41"/>
    </row>
    <row r="268" customFormat="false" ht="15" hidden="false" customHeight="false" outlineLevel="0" collapsed="false">
      <c r="G268" s="41"/>
    </row>
    <row r="269" customFormat="false" ht="15" hidden="false" customHeight="false" outlineLevel="0" collapsed="false">
      <c r="G269" s="41"/>
    </row>
    <row r="270" customFormat="false" ht="15" hidden="false" customHeight="false" outlineLevel="0" collapsed="false">
      <c r="G270" s="41"/>
    </row>
    <row r="271" customFormat="false" ht="15" hidden="false" customHeight="false" outlineLevel="0" collapsed="false">
      <c r="G271" s="41"/>
    </row>
    <row r="272" customFormat="false" ht="15" hidden="false" customHeight="false" outlineLevel="0" collapsed="false">
      <c r="G272" s="41"/>
    </row>
    <row r="273" customFormat="false" ht="15" hidden="false" customHeight="false" outlineLevel="0" collapsed="false">
      <c r="G273" s="41"/>
    </row>
    <row r="274" customFormat="false" ht="15" hidden="false" customHeight="false" outlineLevel="0" collapsed="false">
      <c r="G274" s="41"/>
    </row>
    <row r="275" customFormat="false" ht="15" hidden="false" customHeight="false" outlineLevel="0" collapsed="false">
      <c r="G275" s="41"/>
    </row>
    <row r="276" customFormat="false" ht="15" hidden="false" customHeight="false" outlineLevel="0" collapsed="false">
      <c r="G276" s="41"/>
    </row>
    <row r="277" customFormat="false" ht="15" hidden="false" customHeight="false" outlineLevel="0" collapsed="false">
      <c r="G277" s="41"/>
    </row>
    <row r="278" customFormat="false" ht="15" hidden="false" customHeight="false" outlineLevel="0" collapsed="false">
      <c r="G278" s="41"/>
    </row>
    <row r="279" customFormat="false" ht="15" hidden="false" customHeight="false" outlineLevel="0" collapsed="false">
      <c r="G279" s="41"/>
    </row>
    <row r="280" customFormat="false" ht="15" hidden="false" customHeight="false" outlineLevel="0" collapsed="false">
      <c r="G280" s="41"/>
    </row>
    <row r="281" customFormat="false" ht="15" hidden="false" customHeight="false" outlineLevel="0" collapsed="false">
      <c r="G281" s="41"/>
    </row>
    <row r="282" customFormat="false" ht="15" hidden="false" customHeight="false" outlineLevel="0" collapsed="false">
      <c r="G282" s="41"/>
    </row>
    <row r="283" customFormat="false" ht="15" hidden="false" customHeight="false" outlineLevel="0" collapsed="false">
      <c r="G283" s="41"/>
    </row>
    <row r="284" customFormat="false" ht="15" hidden="false" customHeight="false" outlineLevel="0" collapsed="false">
      <c r="G284" s="41"/>
    </row>
    <row r="285" customFormat="false" ht="15" hidden="false" customHeight="false" outlineLevel="0" collapsed="false">
      <c r="G285" s="41"/>
    </row>
    <row r="286" customFormat="false" ht="15" hidden="false" customHeight="false" outlineLevel="0" collapsed="false">
      <c r="G286" s="41"/>
    </row>
    <row r="287" customFormat="false" ht="15" hidden="false" customHeight="false" outlineLevel="0" collapsed="false">
      <c r="G287" s="41"/>
    </row>
    <row r="288" customFormat="false" ht="15" hidden="false" customHeight="false" outlineLevel="0" collapsed="false">
      <c r="G288" s="41"/>
    </row>
    <row r="289" customFormat="false" ht="15" hidden="false" customHeight="false" outlineLevel="0" collapsed="false">
      <c r="G289" s="41"/>
    </row>
    <row r="290" customFormat="false" ht="15" hidden="false" customHeight="false" outlineLevel="0" collapsed="false">
      <c r="G290" s="41"/>
    </row>
    <row r="291" customFormat="false" ht="15" hidden="false" customHeight="false" outlineLevel="0" collapsed="false">
      <c r="G291" s="41"/>
    </row>
    <row r="292" customFormat="false" ht="15" hidden="false" customHeight="false" outlineLevel="0" collapsed="false">
      <c r="G292" s="41"/>
    </row>
    <row r="293" customFormat="false" ht="15" hidden="false" customHeight="false" outlineLevel="0" collapsed="false">
      <c r="G293" s="41"/>
    </row>
    <row r="294" customFormat="false" ht="15" hidden="false" customHeight="false" outlineLevel="0" collapsed="false">
      <c r="G294" s="41"/>
    </row>
    <row r="295" customFormat="false" ht="15" hidden="false" customHeight="false" outlineLevel="0" collapsed="false">
      <c r="G295" s="41"/>
    </row>
    <row r="296" customFormat="false" ht="15" hidden="false" customHeight="false" outlineLevel="0" collapsed="false">
      <c r="G296" s="41"/>
    </row>
    <row r="297" customFormat="false" ht="15" hidden="false" customHeight="false" outlineLevel="0" collapsed="false">
      <c r="G297" s="41"/>
    </row>
    <row r="298" customFormat="false" ht="15" hidden="false" customHeight="false" outlineLevel="0" collapsed="false">
      <c r="G298" s="41"/>
    </row>
    <row r="299" customFormat="false" ht="15" hidden="false" customHeight="false" outlineLevel="0" collapsed="false">
      <c r="G299" s="41"/>
    </row>
    <row r="300" customFormat="false" ht="15" hidden="false" customHeight="false" outlineLevel="0" collapsed="false">
      <c r="G300" s="41"/>
    </row>
    <row r="301" customFormat="false" ht="15" hidden="false" customHeight="false" outlineLevel="0" collapsed="false">
      <c r="G301" s="41"/>
    </row>
    <row r="302" customFormat="false" ht="15" hidden="false" customHeight="false" outlineLevel="0" collapsed="false">
      <c r="G302" s="41"/>
    </row>
    <row r="303" customFormat="false" ht="15" hidden="false" customHeight="false" outlineLevel="0" collapsed="false">
      <c r="G303" s="41"/>
    </row>
    <row r="304" customFormat="false" ht="15" hidden="false" customHeight="false" outlineLevel="0" collapsed="false">
      <c r="G304" s="41"/>
    </row>
    <row r="305" customFormat="false" ht="15" hidden="false" customHeight="false" outlineLevel="0" collapsed="false">
      <c r="G305" s="41"/>
    </row>
    <row r="306" customFormat="false" ht="15" hidden="false" customHeight="false" outlineLevel="0" collapsed="false">
      <c r="G306" s="41"/>
    </row>
    <row r="307" customFormat="false" ht="15" hidden="false" customHeight="false" outlineLevel="0" collapsed="false">
      <c r="G307" s="41"/>
    </row>
    <row r="308" customFormat="false" ht="15" hidden="false" customHeight="false" outlineLevel="0" collapsed="false">
      <c r="G308" s="41"/>
    </row>
    <row r="309" customFormat="false" ht="15" hidden="false" customHeight="false" outlineLevel="0" collapsed="false">
      <c r="G309" s="41"/>
    </row>
    <row r="310" customFormat="false" ht="15" hidden="false" customHeight="false" outlineLevel="0" collapsed="false">
      <c r="G310" s="41"/>
    </row>
    <row r="311" customFormat="false" ht="15" hidden="false" customHeight="false" outlineLevel="0" collapsed="false">
      <c r="G311" s="41"/>
    </row>
    <row r="312" customFormat="false" ht="15" hidden="false" customHeight="false" outlineLevel="0" collapsed="false">
      <c r="G312" s="41"/>
    </row>
    <row r="313" customFormat="false" ht="15" hidden="false" customHeight="false" outlineLevel="0" collapsed="false">
      <c r="G313" s="41"/>
    </row>
    <row r="314" customFormat="false" ht="15" hidden="false" customHeight="false" outlineLevel="0" collapsed="false">
      <c r="G314" s="41"/>
    </row>
    <row r="315" customFormat="false" ht="15" hidden="false" customHeight="false" outlineLevel="0" collapsed="false">
      <c r="G315" s="41"/>
    </row>
    <row r="316" customFormat="false" ht="15" hidden="false" customHeight="false" outlineLevel="0" collapsed="false">
      <c r="G316" s="41"/>
    </row>
    <row r="317" customFormat="false" ht="15" hidden="false" customHeight="false" outlineLevel="0" collapsed="false">
      <c r="G317" s="41"/>
    </row>
    <row r="318" customFormat="false" ht="15" hidden="false" customHeight="false" outlineLevel="0" collapsed="false">
      <c r="G318" s="41"/>
    </row>
    <row r="319" customFormat="false" ht="15" hidden="false" customHeight="false" outlineLevel="0" collapsed="false">
      <c r="G319" s="41"/>
    </row>
    <row r="320" customFormat="false" ht="15" hidden="false" customHeight="false" outlineLevel="0" collapsed="false">
      <c r="G320" s="41"/>
    </row>
    <row r="321" customFormat="false" ht="15" hidden="false" customHeight="false" outlineLevel="0" collapsed="false">
      <c r="G321" s="41"/>
    </row>
    <row r="322" customFormat="false" ht="15" hidden="false" customHeight="false" outlineLevel="0" collapsed="false">
      <c r="G322" s="41"/>
    </row>
    <row r="323" customFormat="false" ht="15" hidden="false" customHeight="false" outlineLevel="0" collapsed="false">
      <c r="G323" s="41"/>
    </row>
    <row r="324" customFormat="false" ht="15" hidden="false" customHeight="false" outlineLevel="0" collapsed="false">
      <c r="G324" s="41"/>
    </row>
    <row r="325" customFormat="false" ht="15" hidden="false" customHeight="false" outlineLevel="0" collapsed="false">
      <c r="G325" s="41"/>
    </row>
    <row r="326" customFormat="false" ht="15" hidden="false" customHeight="false" outlineLevel="0" collapsed="false">
      <c r="G326" s="41"/>
    </row>
    <row r="327" customFormat="false" ht="15" hidden="false" customHeight="false" outlineLevel="0" collapsed="false">
      <c r="G327" s="41"/>
    </row>
    <row r="328" customFormat="false" ht="15" hidden="false" customHeight="false" outlineLevel="0" collapsed="false">
      <c r="G328" s="41"/>
    </row>
    <row r="329" customFormat="false" ht="15" hidden="false" customHeight="false" outlineLevel="0" collapsed="false">
      <c r="G329" s="41"/>
    </row>
    <row r="330" customFormat="false" ht="15" hidden="false" customHeight="false" outlineLevel="0" collapsed="false">
      <c r="G330" s="41"/>
    </row>
    <row r="331" customFormat="false" ht="15" hidden="false" customHeight="false" outlineLevel="0" collapsed="false">
      <c r="G331" s="41"/>
    </row>
    <row r="332" customFormat="false" ht="15" hidden="false" customHeight="false" outlineLevel="0" collapsed="false">
      <c r="G332" s="41"/>
    </row>
    <row r="333" customFormat="false" ht="15" hidden="false" customHeight="false" outlineLevel="0" collapsed="false">
      <c r="G333" s="41"/>
    </row>
    <row r="334" customFormat="false" ht="15" hidden="false" customHeight="false" outlineLevel="0" collapsed="false">
      <c r="G334" s="41"/>
    </row>
    <row r="335" customFormat="false" ht="15" hidden="false" customHeight="false" outlineLevel="0" collapsed="false">
      <c r="G335" s="41"/>
    </row>
    <row r="336" customFormat="false" ht="15" hidden="false" customHeight="false" outlineLevel="0" collapsed="false">
      <c r="G336" s="41"/>
    </row>
    <row r="337" customFormat="false" ht="15" hidden="false" customHeight="false" outlineLevel="0" collapsed="false">
      <c r="G337" s="41"/>
    </row>
    <row r="338" customFormat="false" ht="15" hidden="false" customHeight="false" outlineLevel="0" collapsed="false">
      <c r="G338" s="41"/>
    </row>
    <row r="339" customFormat="false" ht="15" hidden="false" customHeight="false" outlineLevel="0" collapsed="false">
      <c r="G339" s="41"/>
    </row>
    <row r="340" customFormat="false" ht="15" hidden="false" customHeight="false" outlineLevel="0" collapsed="false">
      <c r="G340" s="41"/>
    </row>
    <row r="341" customFormat="false" ht="15" hidden="false" customHeight="false" outlineLevel="0" collapsed="false">
      <c r="G341" s="41"/>
    </row>
    <row r="342" customFormat="false" ht="15" hidden="false" customHeight="false" outlineLevel="0" collapsed="false">
      <c r="G342" s="41"/>
    </row>
    <row r="343" customFormat="false" ht="15" hidden="false" customHeight="false" outlineLevel="0" collapsed="false">
      <c r="G343" s="41"/>
    </row>
    <row r="344" customFormat="false" ht="15" hidden="false" customHeight="false" outlineLevel="0" collapsed="false">
      <c r="G344" s="41"/>
    </row>
    <row r="345" customFormat="false" ht="15" hidden="false" customHeight="false" outlineLevel="0" collapsed="false">
      <c r="G345" s="41"/>
    </row>
    <row r="346" customFormat="false" ht="15" hidden="false" customHeight="false" outlineLevel="0" collapsed="false">
      <c r="G346" s="41"/>
    </row>
    <row r="347" customFormat="false" ht="15" hidden="false" customHeight="false" outlineLevel="0" collapsed="false">
      <c r="G347" s="41"/>
    </row>
    <row r="348" customFormat="false" ht="15" hidden="false" customHeight="false" outlineLevel="0" collapsed="false">
      <c r="G348" s="41"/>
    </row>
    <row r="349" customFormat="false" ht="15" hidden="false" customHeight="false" outlineLevel="0" collapsed="false">
      <c r="G349" s="41"/>
    </row>
    <row r="350" customFormat="false" ht="15" hidden="false" customHeight="false" outlineLevel="0" collapsed="false">
      <c r="G350" s="41"/>
    </row>
    <row r="351" customFormat="false" ht="15" hidden="false" customHeight="false" outlineLevel="0" collapsed="false">
      <c r="G351" s="41"/>
    </row>
    <row r="352" customFormat="false" ht="15" hidden="false" customHeight="false" outlineLevel="0" collapsed="false">
      <c r="G352" s="41"/>
    </row>
    <row r="353" customFormat="false" ht="15" hidden="false" customHeight="false" outlineLevel="0" collapsed="false">
      <c r="G353" s="41"/>
    </row>
    <row r="354" customFormat="false" ht="15" hidden="false" customHeight="false" outlineLevel="0" collapsed="false">
      <c r="G354" s="41"/>
    </row>
    <row r="355" customFormat="false" ht="15" hidden="false" customHeight="false" outlineLevel="0" collapsed="false">
      <c r="G355" s="41"/>
    </row>
    <row r="356" customFormat="false" ht="15" hidden="false" customHeight="false" outlineLevel="0" collapsed="false">
      <c r="G356" s="41"/>
    </row>
    <row r="357" customFormat="false" ht="15" hidden="false" customHeight="false" outlineLevel="0" collapsed="false">
      <c r="G357" s="41"/>
    </row>
    <row r="358" customFormat="false" ht="15" hidden="false" customHeight="false" outlineLevel="0" collapsed="false">
      <c r="G358" s="41"/>
    </row>
    <row r="359" customFormat="false" ht="15" hidden="false" customHeight="false" outlineLevel="0" collapsed="false">
      <c r="G359" s="41"/>
    </row>
    <row r="360" customFormat="false" ht="15" hidden="false" customHeight="false" outlineLevel="0" collapsed="false">
      <c r="G360" s="41"/>
    </row>
    <row r="361" customFormat="false" ht="15" hidden="false" customHeight="false" outlineLevel="0" collapsed="false">
      <c r="G361" s="41"/>
    </row>
    <row r="362" customFormat="false" ht="15" hidden="false" customHeight="false" outlineLevel="0" collapsed="false">
      <c r="G362" s="41"/>
    </row>
    <row r="363" customFormat="false" ht="15" hidden="false" customHeight="false" outlineLevel="0" collapsed="false">
      <c r="G363" s="41"/>
    </row>
    <row r="364" customFormat="false" ht="15" hidden="false" customHeight="false" outlineLevel="0" collapsed="false">
      <c r="G364" s="41"/>
    </row>
    <row r="365" customFormat="false" ht="15" hidden="false" customHeight="false" outlineLevel="0" collapsed="false">
      <c r="G365" s="41"/>
    </row>
    <row r="366" customFormat="false" ht="15" hidden="false" customHeight="false" outlineLevel="0" collapsed="false">
      <c r="G366" s="41"/>
    </row>
    <row r="367" customFormat="false" ht="15" hidden="false" customHeight="false" outlineLevel="0" collapsed="false">
      <c r="G367" s="41"/>
    </row>
    <row r="368" customFormat="false" ht="15" hidden="false" customHeight="false" outlineLevel="0" collapsed="false">
      <c r="G368" s="41"/>
    </row>
    <row r="369" customFormat="false" ht="15" hidden="false" customHeight="false" outlineLevel="0" collapsed="false">
      <c r="G369" s="41"/>
    </row>
    <row r="370" customFormat="false" ht="15" hidden="false" customHeight="false" outlineLevel="0" collapsed="false">
      <c r="G370" s="41"/>
    </row>
    <row r="371" customFormat="false" ht="15" hidden="false" customHeight="false" outlineLevel="0" collapsed="false">
      <c r="G371" s="41"/>
    </row>
    <row r="372" customFormat="false" ht="15" hidden="false" customHeight="false" outlineLevel="0" collapsed="false">
      <c r="G372" s="41"/>
    </row>
    <row r="373" customFormat="false" ht="15" hidden="false" customHeight="false" outlineLevel="0" collapsed="false">
      <c r="G373" s="41"/>
    </row>
    <row r="374" customFormat="false" ht="15" hidden="false" customHeight="false" outlineLevel="0" collapsed="false">
      <c r="G374" s="41"/>
    </row>
    <row r="375" customFormat="false" ht="15" hidden="false" customHeight="false" outlineLevel="0" collapsed="false">
      <c r="G375" s="41"/>
    </row>
    <row r="376" customFormat="false" ht="15" hidden="false" customHeight="false" outlineLevel="0" collapsed="false">
      <c r="G376" s="41"/>
    </row>
    <row r="377" customFormat="false" ht="15" hidden="false" customHeight="false" outlineLevel="0" collapsed="false">
      <c r="G377" s="41"/>
    </row>
    <row r="378" customFormat="false" ht="15" hidden="false" customHeight="false" outlineLevel="0" collapsed="false">
      <c r="G378" s="41"/>
    </row>
    <row r="379" customFormat="false" ht="15" hidden="false" customHeight="false" outlineLevel="0" collapsed="false">
      <c r="G379" s="41"/>
    </row>
    <row r="380" customFormat="false" ht="15" hidden="false" customHeight="false" outlineLevel="0" collapsed="false">
      <c r="G380" s="41"/>
    </row>
    <row r="381" customFormat="false" ht="15" hidden="false" customHeight="false" outlineLevel="0" collapsed="false">
      <c r="G381" s="41"/>
    </row>
    <row r="382" customFormat="false" ht="15" hidden="false" customHeight="false" outlineLevel="0" collapsed="false">
      <c r="G382" s="41"/>
    </row>
    <row r="383" customFormat="false" ht="15" hidden="false" customHeight="false" outlineLevel="0" collapsed="false">
      <c r="G383" s="41"/>
    </row>
    <row r="384" customFormat="false" ht="15" hidden="false" customHeight="false" outlineLevel="0" collapsed="false">
      <c r="G384" s="41"/>
    </row>
    <row r="385" customFormat="false" ht="15" hidden="false" customHeight="false" outlineLevel="0" collapsed="false">
      <c r="G385" s="41"/>
    </row>
    <row r="386" customFormat="false" ht="15" hidden="false" customHeight="false" outlineLevel="0" collapsed="false">
      <c r="G386" s="41"/>
    </row>
    <row r="387" customFormat="false" ht="15" hidden="false" customHeight="false" outlineLevel="0" collapsed="false">
      <c r="G387" s="41"/>
    </row>
    <row r="388" customFormat="false" ht="15" hidden="false" customHeight="false" outlineLevel="0" collapsed="false">
      <c r="G388" s="41"/>
    </row>
    <row r="389" customFormat="false" ht="15" hidden="false" customHeight="false" outlineLevel="0" collapsed="false">
      <c r="G389" s="41"/>
    </row>
    <row r="390" customFormat="false" ht="15" hidden="false" customHeight="false" outlineLevel="0" collapsed="false">
      <c r="G390" s="41"/>
    </row>
    <row r="391" customFormat="false" ht="15" hidden="false" customHeight="false" outlineLevel="0" collapsed="false">
      <c r="G391" s="41"/>
    </row>
    <row r="392" customFormat="false" ht="15" hidden="false" customHeight="false" outlineLevel="0" collapsed="false">
      <c r="G392" s="41"/>
    </row>
    <row r="393" customFormat="false" ht="15" hidden="false" customHeight="false" outlineLevel="0" collapsed="false">
      <c r="G393" s="41"/>
    </row>
    <row r="394" customFormat="false" ht="15" hidden="false" customHeight="false" outlineLevel="0" collapsed="false">
      <c r="G394" s="41"/>
    </row>
    <row r="395" customFormat="false" ht="15" hidden="false" customHeight="false" outlineLevel="0" collapsed="false">
      <c r="G395" s="41"/>
    </row>
    <row r="396" customFormat="false" ht="15" hidden="false" customHeight="false" outlineLevel="0" collapsed="false">
      <c r="G396" s="41"/>
    </row>
    <row r="397" customFormat="false" ht="15" hidden="false" customHeight="false" outlineLevel="0" collapsed="false">
      <c r="G397" s="41"/>
    </row>
    <row r="398" customFormat="false" ht="15" hidden="false" customHeight="false" outlineLevel="0" collapsed="false">
      <c r="G398" s="41"/>
    </row>
    <row r="399" customFormat="false" ht="15" hidden="false" customHeight="false" outlineLevel="0" collapsed="false">
      <c r="G399" s="41"/>
    </row>
    <row r="400" customFormat="false" ht="15" hidden="false" customHeight="false" outlineLevel="0" collapsed="false">
      <c r="G400" s="41"/>
    </row>
    <row r="401" customFormat="false" ht="15" hidden="false" customHeight="false" outlineLevel="0" collapsed="false">
      <c r="G401" s="41"/>
    </row>
    <row r="402" customFormat="false" ht="15" hidden="false" customHeight="false" outlineLevel="0" collapsed="false">
      <c r="G402" s="41"/>
    </row>
    <row r="403" customFormat="false" ht="15" hidden="false" customHeight="false" outlineLevel="0" collapsed="false">
      <c r="G403" s="41"/>
    </row>
    <row r="404" customFormat="false" ht="15" hidden="false" customHeight="false" outlineLevel="0" collapsed="false">
      <c r="G404" s="41"/>
    </row>
    <row r="405" customFormat="false" ht="15" hidden="false" customHeight="false" outlineLevel="0" collapsed="false">
      <c r="G405" s="41"/>
    </row>
    <row r="406" customFormat="false" ht="15" hidden="false" customHeight="false" outlineLevel="0" collapsed="false">
      <c r="G406" s="41"/>
    </row>
    <row r="407" customFormat="false" ht="15" hidden="false" customHeight="false" outlineLevel="0" collapsed="false">
      <c r="G407" s="41"/>
    </row>
    <row r="408" customFormat="false" ht="15" hidden="false" customHeight="false" outlineLevel="0" collapsed="false">
      <c r="G408" s="41"/>
    </row>
    <row r="409" customFormat="false" ht="15" hidden="false" customHeight="false" outlineLevel="0" collapsed="false">
      <c r="G409" s="41"/>
    </row>
    <row r="410" customFormat="false" ht="15" hidden="false" customHeight="false" outlineLevel="0" collapsed="false">
      <c r="G410" s="41"/>
    </row>
    <row r="411" customFormat="false" ht="15" hidden="false" customHeight="false" outlineLevel="0" collapsed="false">
      <c r="G411" s="41"/>
    </row>
    <row r="412" customFormat="false" ht="15" hidden="false" customHeight="false" outlineLevel="0" collapsed="false">
      <c r="G412" s="41"/>
    </row>
    <row r="413" customFormat="false" ht="15" hidden="false" customHeight="false" outlineLevel="0" collapsed="false">
      <c r="G413" s="41"/>
    </row>
    <row r="414" customFormat="false" ht="15" hidden="false" customHeight="false" outlineLevel="0" collapsed="false">
      <c r="G414" s="41"/>
    </row>
    <row r="415" customFormat="false" ht="15" hidden="false" customHeight="false" outlineLevel="0" collapsed="false">
      <c r="G415" s="41"/>
    </row>
    <row r="416" customFormat="false" ht="15" hidden="false" customHeight="false" outlineLevel="0" collapsed="false">
      <c r="G416" s="41"/>
    </row>
    <row r="417" customFormat="false" ht="15" hidden="false" customHeight="false" outlineLevel="0" collapsed="false">
      <c r="G417" s="41"/>
    </row>
    <row r="418" customFormat="false" ht="15" hidden="false" customHeight="false" outlineLevel="0" collapsed="false">
      <c r="G418" s="41"/>
    </row>
    <row r="419" customFormat="false" ht="15" hidden="false" customHeight="false" outlineLevel="0" collapsed="false">
      <c r="G419" s="41"/>
    </row>
    <row r="420" customFormat="false" ht="15" hidden="false" customHeight="false" outlineLevel="0" collapsed="false">
      <c r="G420" s="41"/>
    </row>
    <row r="421" customFormat="false" ht="15" hidden="false" customHeight="false" outlineLevel="0" collapsed="false">
      <c r="G421" s="41"/>
    </row>
    <row r="422" customFormat="false" ht="15" hidden="false" customHeight="false" outlineLevel="0" collapsed="false">
      <c r="G422" s="41"/>
    </row>
    <row r="423" customFormat="false" ht="15" hidden="false" customHeight="false" outlineLevel="0" collapsed="false">
      <c r="G423" s="41"/>
    </row>
    <row r="424" customFormat="false" ht="15" hidden="false" customHeight="false" outlineLevel="0" collapsed="false">
      <c r="G424" s="41"/>
    </row>
    <row r="425" customFormat="false" ht="15" hidden="false" customHeight="false" outlineLevel="0" collapsed="false">
      <c r="G425" s="41"/>
    </row>
    <row r="426" customFormat="false" ht="15" hidden="false" customHeight="false" outlineLevel="0" collapsed="false">
      <c r="G426" s="41"/>
    </row>
    <row r="427" customFormat="false" ht="15" hidden="false" customHeight="false" outlineLevel="0" collapsed="false">
      <c r="G427" s="41"/>
    </row>
    <row r="428" customFormat="false" ht="15" hidden="false" customHeight="false" outlineLevel="0" collapsed="false">
      <c r="G428" s="41"/>
    </row>
    <row r="429" customFormat="false" ht="15" hidden="false" customHeight="false" outlineLevel="0" collapsed="false">
      <c r="G429" s="41"/>
    </row>
    <row r="430" customFormat="false" ht="15" hidden="false" customHeight="false" outlineLevel="0" collapsed="false">
      <c r="G430" s="41"/>
    </row>
    <row r="431" customFormat="false" ht="15" hidden="false" customHeight="false" outlineLevel="0" collapsed="false">
      <c r="G431" s="41"/>
    </row>
    <row r="432" customFormat="false" ht="15" hidden="false" customHeight="false" outlineLevel="0" collapsed="false">
      <c r="G432" s="41"/>
    </row>
    <row r="433" customFormat="false" ht="15" hidden="false" customHeight="false" outlineLevel="0" collapsed="false">
      <c r="G433" s="41"/>
    </row>
    <row r="434" customFormat="false" ht="15" hidden="false" customHeight="false" outlineLevel="0" collapsed="false">
      <c r="G434" s="41"/>
    </row>
    <row r="435" customFormat="false" ht="15" hidden="false" customHeight="false" outlineLevel="0" collapsed="false">
      <c r="G435" s="41"/>
    </row>
    <row r="436" customFormat="false" ht="15" hidden="false" customHeight="false" outlineLevel="0" collapsed="false">
      <c r="G436" s="41"/>
    </row>
    <row r="437" customFormat="false" ht="15" hidden="false" customHeight="false" outlineLevel="0" collapsed="false">
      <c r="G437" s="41"/>
    </row>
    <row r="438" customFormat="false" ht="15" hidden="false" customHeight="false" outlineLevel="0" collapsed="false">
      <c r="G438" s="41"/>
    </row>
    <row r="439" customFormat="false" ht="15" hidden="false" customHeight="false" outlineLevel="0" collapsed="false">
      <c r="G439" s="41"/>
    </row>
    <row r="440" customFormat="false" ht="15" hidden="false" customHeight="false" outlineLevel="0" collapsed="false">
      <c r="G440" s="41"/>
    </row>
    <row r="441" customFormat="false" ht="15" hidden="false" customHeight="false" outlineLevel="0" collapsed="false">
      <c r="G441" s="41"/>
    </row>
    <row r="442" customFormat="false" ht="15" hidden="false" customHeight="false" outlineLevel="0" collapsed="false">
      <c r="G442" s="41"/>
    </row>
    <row r="443" customFormat="false" ht="15" hidden="false" customHeight="false" outlineLevel="0" collapsed="false">
      <c r="G443" s="41"/>
    </row>
    <row r="444" customFormat="false" ht="15" hidden="false" customHeight="false" outlineLevel="0" collapsed="false">
      <c r="G444" s="41"/>
    </row>
    <row r="445" customFormat="false" ht="15" hidden="false" customHeight="false" outlineLevel="0" collapsed="false">
      <c r="G445" s="41"/>
    </row>
    <row r="446" customFormat="false" ht="15" hidden="false" customHeight="false" outlineLevel="0" collapsed="false">
      <c r="G446" s="41"/>
    </row>
    <row r="447" customFormat="false" ht="15" hidden="false" customHeight="false" outlineLevel="0" collapsed="false">
      <c r="G447" s="41"/>
    </row>
    <row r="448" customFormat="false" ht="15" hidden="false" customHeight="false" outlineLevel="0" collapsed="false">
      <c r="G448" s="41"/>
    </row>
    <row r="449" customFormat="false" ht="15" hidden="false" customHeight="false" outlineLevel="0" collapsed="false">
      <c r="G449" s="41"/>
    </row>
    <row r="450" customFormat="false" ht="15" hidden="false" customHeight="false" outlineLevel="0" collapsed="false">
      <c r="G450" s="41"/>
    </row>
    <row r="451" customFormat="false" ht="15" hidden="false" customHeight="false" outlineLevel="0" collapsed="false">
      <c r="G451" s="41"/>
    </row>
    <row r="452" customFormat="false" ht="15" hidden="false" customHeight="false" outlineLevel="0" collapsed="false">
      <c r="G452" s="41"/>
    </row>
    <row r="453" customFormat="false" ht="15" hidden="false" customHeight="false" outlineLevel="0" collapsed="false">
      <c r="G453" s="41"/>
    </row>
    <row r="454" customFormat="false" ht="15" hidden="false" customHeight="false" outlineLevel="0" collapsed="false">
      <c r="G454" s="41"/>
    </row>
    <row r="455" customFormat="false" ht="15" hidden="false" customHeight="false" outlineLevel="0" collapsed="false">
      <c r="G455" s="41"/>
    </row>
    <row r="456" customFormat="false" ht="15" hidden="false" customHeight="false" outlineLevel="0" collapsed="false">
      <c r="G456" s="41"/>
    </row>
    <row r="457" customFormat="false" ht="15" hidden="false" customHeight="false" outlineLevel="0" collapsed="false">
      <c r="G457" s="41"/>
    </row>
    <row r="458" customFormat="false" ht="15" hidden="false" customHeight="false" outlineLevel="0" collapsed="false">
      <c r="G458" s="41"/>
    </row>
    <row r="459" customFormat="false" ht="15" hidden="false" customHeight="false" outlineLevel="0" collapsed="false">
      <c r="G459" s="41"/>
    </row>
    <row r="460" customFormat="false" ht="15" hidden="false" customHeight="false" outlineLevel="0" collapsed="false">
      <c r="G460" s="41"/>
    </row>
    <row r="461" customFormat="false" ht="15" hidden="false" customHeight="false" outlineLevel="0" collapsed="false">
      <c r="G461" s="41"/>
    </row>
    <row r="462" customFormat="false" ht="15" hidden="false" customHeight="false" outlineLevel="0" collapsed="false">
      <c r="G462" s="41"/>
    </row>
    <row r="463" customFormat="false" ht="15" hidden="false" customHeight="false" outlineLevel="0" collapsed="false">
      <c r="G463" s="41"/>
    </row>
    <row r="464" customFormat="false" ht="15" hidden="false" customHeight="false" outlineLevel="0" collapsed="false">
      <c r="G464" s="41"/>
    </row>
    <row r="465" customFormat="false" ht="15" hidden="false" customHeight="false" outlineLevel="0" collapsed="false">
      <c r="G465" s="41"/>
    </row>
    <row r="466" customFormat="false" ht="15" hidden="false" customHeight="false" outlineLevel="0" collapsed="false">
      <c r="G466" s="41"/>
    </row>
    <row r="467" customFormat="false" ht="15" hidden="false" customHeight="false" outlineLevel="0" collapsed="false">
      <c r="G467" s="41"/>
    </row>
    <row r="468" customFormat="false" ht="15" hidden="false" customHeight="false" outlineLevel="0" collapsed="false">
      <c r="G468" s="41"/>
    </row>
    <row r="469" customFormat="false" ht="15" hidden="false" customHeight="false" outlineLevel="0" collapsed="false">
      <c r="G469" s="41"/>
    </row>
    <row r="470" customFormat="false" ht="15" hidden="false" customHeight="false" outlineLevel="0" collapsed="false">
      <c r="G470" s="41"/>
    </row>
    <row r="471" customFormat="false" ht="15" hidden="false" customHeight="false" outlineLevel="0" collapsed="false">
      <c r="G471" s="41"/>
    </row>
    <row r="472" customFormat="false" ht="15" hidden="false" customHeight="false" outlineLevel="0" collapsed="false">
      <c r="G472" s="41"/>
    </row>
    <row r="473" customFormat="false" ht="15" hidden="false" customHeight="false" outlineLevel="0" collapsed="false">
      <c r="G473" s="41"/>
    </row>
    <row r="474" customFormat="false" ht="15" hidden="false" customHeight="false" outlineLevel="0" collapsed="false">
      <c r="G474" s="41"/>
    </row>
    <row r="475" customFormat="false" ht="15" hidden="false" customHeight="false" outlineLevel="0" collapsed="false">
      <c r="G475" s="41"/>
    </row>
    <row r="476" customFormat="false" ht="15" hidden="false" customHeight="false" outlineLevel="0" collapsed="false">
      <c r="G476" s="41"/>
    </row>
    <row r="477" customFormat="false" ht="15" hidden="false" customHeight="false" outlineLevel="0" collapsed="false">
      <c r="G477" s="41"/>
    </row>
    <row r="478" customFormat="false" ht="15" hidden="false" customHeight="false" outlineLevel="0" collapsed="false">
      <c r="G478" s="41"/>
    </row>
    <row r="479" customFormat="false" ht="15" hidden="false" customHeight="false" outlineLevel="0" collapsed="false">
      <c r="G479" s="41"/>
    </row>
    <row r="480" customFormat="false" ht="15" hidden="false" customHeight="false" outlineLevel="0" collapsed="false">
      <c r="G480" s="41"/>
    </row>
    <row r="481" customFormat="false" ht="15" hidden="false" customHeight="false" outlineLevel="0" collapsed="false">
      <c r="G481" s="41"/>
    </row>
    <row r="482" customFormat="false" ht="15" hidden="false" customHeight="false" outlineLevel="0" collapsed="false">
      <c r="G482" s="41"/>
    </row>
    <row r="483" customFormat="false" ht="15" hidden="false" customHeight="false" outlineLevel="0" collapsed="false">
      <c r="G483" s="41"/>
    </row>
    <row r="484" customFormat="false" ht="15" hidden="false" customHeight="false" outlineLevel="0" collapsed="false">
      <c r="G484" s="41"/>
    </row>
    <row r="485" customFormat="false" ht="15" hidden="false" customHeight="false" outlineLevel="0" collapsed="false">
      <c r="G485" s="41"/>
    </row>
    <row r="486" customFormat="false" ht="15" hidden="false" customHeight="false" outlineLevel="0" collapsed="false">
      <c r="G486" s="41"/>
    </row>
    <row r="487" customFormat="false" ht="15" hidden="false" customHeight="false" outlineLevel="0" collapsed="false">
      <c r="G487" s="41"/>
    </row>
    <row r="488" customFormat="false" ht="15" hidden="false" customHeight="false" outlineLevel="0" collapsed="false">
      <c r="G488" s="41"/>
    </row>
    <row r="489" customFormat="false" ht="15" hidden="false" customHeight="false" outlineLevel="0" collapsed="false">
      <c r="G489" s="41"/>
    </row>
    <row r="490" customFormat="false" ht="15" hidden="false" customHeight="false" outlineLevel="0" collapsed="false">
      <c r="G490" s="41"/>
    </row>
    <row r="491" customFormat="false" ht="15" hidden="false" customHeight="false" outlineLevel="0" collapsed="false">
      <c r="G491" s="41"/>
    </row>
    <row r="492" customFormat="false" ht="15" hidden="false" customHeight="false" outlineLevel="0" collapsed="false">
      <c r="G492" s="41"/>
    </row>
    <row r="493" customFormat="false" ht="15" hidden="false" customHeight="false" outlineLevel="0" collapsed="false">
      <c r="G493" s="41"/>
    </row>
    <row r="494" customFormat="false" ht="15" hidden="false" customHeight="false" outlineLevel="0" collapsed="false">
      <c r="G494" s="41"/>
    </row>
    <row r="495" customFormat="false" ht="15" hidden="false" customHeight="false" outlineLevel="0" collapsed="false">
      <c r="G495" s="41"/>
    </row>
    <row r="496" customFormat="false" ht="15" hidden="false" customHeight="false" outlineLevel="0" collapsed="false">
      <c r="G496" s="41"/>
    </row>
    <row r="497" customFormat="false" ht="15" hidden="false" customHeight="false" outlineLevel="0" collapsed="false">
      <c r="G497" s="41"/>
    </row>
    <row r="498" customFormat="false" ht="15" hidden="false" customHeight="false" outlineLevel="0" collapsed="false">
      <c r="G498" s="41"/>
    </row>
    <row r="499" customFormat="false" ht="15" hidden="false" customHeight="false" outlineLevel="0" collapsed="false">
      <c r="G499" s="41"/>
    </row>
    <row r="500" customFormat="false" ht="15" hidden="false" customHeight="false" outlineLevel="0" collapsed="false">
      <c r="G500" s="41"/>
    </row>
  </sheetData>
  <autoFilter ref="A1:G200"/>
  <dataValidations count="1">
    <dataValidation allowBlank="true" error="Escolha um valor da lista." errorStyle="stop" errorTitle="Valor inválido" operator="equal" showDropDown="false" showErrorMessage="true" showInputMessage="false" sqref="G2:G500" type="list">
      <formula1>"Instalado,Estoque,Condenado,Recapado"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true" outlineLevel="0" max="8" min="8" style="0" width="22"/>
    <col collapsed="false" customWidth="true" hidden="false" outlineLevel="0" max="10" min="9" style="0" width="14"/>
  </cols>
  <sheetData>
    <row r="1" customFormat="false" ht="21.75" hidden="false" customHeight="true" outlineLevel="0" collapsed="false">
      <c r="A1" s="40" t="s">
        <v>61</v>
      </c>
      <c r="B1" s="40" t="s">
        <v>83</v>
      </c>
      <c r="C1" s="40" t="s">
        <v>35</v>
      </c>
      <c r="D1" s="40" t="s">
        <v>194</v>
      </c>
      <c r="E1" s="40" t="s">
        <v>62</v>
      </c>
      <c r="F1" s="40" t="s">
        <v>59</v>
      </c>
      <c r="G1" s="40" t="s">
        <v>13</v>
      </c>
      <c r="H1" s="40"/>
    </row>
    <row r="2" customFormat="false" ht="13.8" hidden="false" customHeight="false" outlineLevel="0" collapsed="false">
      <c r="A2" s="0" t="s">
        <v>195</v>
      </c>
      <c r="B2" s="0" t="s">
        <v>88</v>
      </c>
      <c r="C2" s="41" t="s">
        <v>196</v>
      </c>
      <c r="D2" s="0" t="s">
        <v>197</v>
      </c>
      <c r="E2" s="41" t="s">
        <v>131</v>
      </c>
      <c r="F2" s="41" t="s">
        <v>198</v>
      </c>
      <c r="G2" s="0" t="s">
        <v>102</v>
      </c>
      <c r="H2" s="0" t="str">
        <f aca="false">IF(OR($B2="",$B2&lt;&gt;PASSAPORTE!$B$4),"",COUNTIF($B$2:$B2,PASSAPORTE!$B$4))</f>
        <v/>
      </c>
    </row>
    <row r="3" customFormat="false" ht="13.8" hidden="false" customHeight="false" outlineLevel="0" collapsed="false">
      <c r="A3" s="0" t="s">
        <v>199</v>
      </c>
      <c r="B3" s="0" t="s">
        <v>88</v>
      </c>
      <c r="C3" s="41" t="s">
        <v>200</v>
      </c>
      <c r="D3" s="0" t="s">
        <v>201</v>
      </c>
      <c r="E3" s="41" t="s">
        <v>124</v>
      </c>
      <c r="F3" s="41" t="s">
        <v>198</v>
      </c>
      <c r="G3" s="0" t="s">
        <v>102</v>
      </c>
      <c r="H3" s="0" t="str">
        <f aca="false">IF(OR($B3="",$B3&lt;&gt;PASSAPORTE!$B$4),"",COUNTIF($B$2:$B3,PASSAPORTE!$B$4))</f>
        <v/>
      </c>
    </row>
    <row r="4" customFormat="false" ht="13.8" hidden="false" customHeight="false" outlineLevel="0" collapsed="false">
      <c r="A4" s="0" t="s">
        <v>202</v>
      </c>
      <c r="B4" s="0" t="s">
        <v>88</v>
      </c>
      <c r="C4" s="41" t="s">
        <v>203</v>
      </c>
      <c r="D4" s="0" t="s">
        <v>204</v>
      </c>
      <c r="E4" s="41" t="s">
        <v>140</v>
      </c>
      <c r="F4" s="41" t="s">
        <v>205</v>
      </c>
      <c r="G4" s="0" t="s">
        <v>118</v>
      </c>
      <c r="H4" s="0" t="str">
        <f aca="false">IF(OR($B4="",$B4&lt;&gt;PASSAPORTE!$B$4),"",COUNTIF($B$2:$B4,PASSAPORTE!$B$4))</f>
        <v/>
      </c>
    </row>
    <row r="5" customFormat="false" ht="13.8" hidden="false" customHeight="false" outlineLevel="0" collapsed="false">
      <c r="A5" s="0" t="s">
        <v>206</v>
      </c>
      <c r="B5" s="0" t="s">
        <v>89</v>
      </c>
      <c r="C5" s="41" t="s">
        <v>200</v>
      </c>
      <c r="D5" s="0" t="s">
        <v>207</v>
      </c>
      <c r="E5" s="41" t="s">
        <v>124</v>
      </c>
      <c r="F5" s="41" t="s">
        <v>208</v>
      </c>
      <c r="G5" s="0" t="s">
        <v>209</v>
      </c>
      <c r="H5" s="0" t="str">
        <f aca="false">IF(OR($B5="",$B5&lt;&gt;PASSAPORTE!$B$4),"",COUNTIF($B$2:$B5,PASSAPORTE!$B$4))</f>
        <v/>
      </c>
    </row>
    <row r="6" customFormat="false" ht="13.8" hidden="false" customHeight="false" outlineLevel="0" collapsed="false">
      <c r="A6" s="0" t="s">
        <v>210</v>
      </c>
      <c r="B6" s="0" t="s">
        <v>89</v>
      </c>
      <c r="C6" s="41" t="s">
        <v>196</v>
      </c>
      <c r="D6" s="0" t="s">
        <v>211</v>
      </c>
      <c r="E6" s="41" t="s">
        <v>124</v>
      </c>
      <c r="F6" s="41" t="s">
        <v>208</v>
      </c>
      <c r="G6" s="0" t="s">
        <v>212</v>
      </c>
      <c r="H6" s="0" t="str">
        <f aca="false">IF(OR($B6="",$B6&lt;&gt;PASSAPORTE!$B$4),"",COUNTIF($B$2:$B6,PASSAPORTE!$B$4))</f>
        <v/>
      </c>
    </row>
    <row r="7" customFormat="false" ht="13.8" hidden="false" customHeight="false" outlineLevel="0" collapsed="false">
      <c r="A7" s="0" t="s">
        <v>213</v>
      </c>
      <c r="B7" s="0" t="s">
        <v>89</v>
      </c>
      <c r="C7" s="41" t="s">
        <v>203</v>
      </c>
      <c r="D7" s="0" t="s">
        <v>214</v>
      </c>
      <c r="E7" s="41" t="s">
        <v>131</v>
      </c>
      <c r="F7" s="41" t="s">
        <v>205</v>
      </c>
      <c r="G7" s="0" t="s">
        <v>115</v>
      </c>
      <c r="H7" s="0" t="str">
        <f aca="false">IF(OR($B7="",$B7&lt;&gt;PASSAPORTE!$B$4),"",COUNTIF($B$2:$B7,PASSAPORTE!$B$4))</f>
        <v/>
      </c>
    </row>
    <row r="8" customFormat="false" ht="13.8" hidden="false" customHeight="false" outlineLevel="0" collapsed="false">
      <c r="A8" s="0" t="s">
        <v>215</v>
      </c>
      <c r="B8" s="0" t="s">
        <v>30</v>
      </c>
      <c r="C8" s="41" t="s">
        <v>196</v>
      </c>
      <c r="D8" s="0" t="s">
        <v>216</v>
      </c>
      <c r="E8" s="41" t="s">
        <v>140</v>
      </c>
      <c r="F8" s="41" t="s">
        <v>198</v>
      </c>
      <c r="G8" s="0" t="s">
        <v>111</v>
      </c>
      <c r="H8" s="0" t="n">
        <f aca="false">IF(OR($B8="",$B8&lt;&gt;PASSAPORTE!$B$4),"",COUNTIF($B$2:$B8,PASSAPORTE!$B$4))</f>
        <v>1</v>
      </c>
    </row>
    <row r="9" customFormat="false" ht="13.8" hidden="false" customHeight="false" outlineLevel="0" collapsed="false">
      <c r="A9" s="0" t="s">
        <v>217</v>
      </c>
      <c r="B9" s="0" t="s">
        <v>30</v>
      </c>
      <c r="C9" s="41" t="s">
        <v>203</v>
      </c>
      <c r="D9" s="0" t="s">
        <v>218</v>
      </c>
      <c r="E9" s="41" t="s">
        <v>140</v>
      </c>
      <c r="F9" s="41" t="s">
        <v>198</v>
      </c>
      <c r="G9" s="0" t="s">
        <v>111</v>
      </c>
      <c r="H9" s="0" t="n">
        <f aca="false">IF(OR($B9="",$B9&lt;&gt;PASSAPORTE!$B$4),"",COUNTIF($B$2:$B9,PASSAPORTE!$B$4))</f>
        <v>2</v>
      </c>
    </row>
    <row r="10" customFormat="false" ht="13.8" hidden="false" customHeight="false" outlineLevel="0" collapsed="false">
      <c r="A10" s="0" t="s">
        <v>219</v>
      </c>
      <c r="B10" s="0" t="s">
        <v>30</v>
      </c>
      <c r="C10" s="41" t="s">
        <v>200</v>
      </c>
      <c r="D10" s="0" t="s">
        <v>220</v>
      </c>
      <c r="E10" s="41" t="s">
        <v>131</v>
      </c>
      <c r="F10" s="41" t="s">
        <v>198</v>
      </c>
      <c r="G10" s="0" t="s">
        <v>221</v>
      </c>
      <c r="H10" s="0" t="n">
        <f aca="false">IF(OR($B10="",$B10&lt;&gt;PASSAPORTE!$B$4),"",COUNTIF($B$2:$B10,PASSAPORTE!$B$4))</f>
        <v>3</v>
      </c>
    </row>
    <row r="11" customFormat="false" ht="13.8" hidden="false" customHeight="false" outlineLevel="0" collapsed="false">
      <c r="A11" s="0" t="s">
        <v>222</v>
      </c>
      <c r="B11" s="0" t="s">
        <v>30</v>
      </c>
      <c r="C11" s="41" t="s">
        <v>196</v>
      </c>
      <c r="D11" s="0" t="s">
        <v>223</v>
      </c>
      <c r="E11" s="41" t="s">
        <v>124</v>
      </c>
      <c r="F11" s="41" t="s">
        <v>208</v>
      </c>
      <c r="G11" s="0" t="s">
        <v>224</v>
      </c>
      <c r="H11" s="0" t="n">
        <f aca="false">IF(OR($B11="",$B11&lt;&gt;PASSAPORTE!$B$4),"",COUNTIF($B$2:$B11,PASSAPORTE!$B$4))</f>
        <v>4</v>
      </c>
    </row>
    <row r="12" customFormat="false" ht="13.8" hidden="false" customHeight="false" outlineLevel="0" collapsed="false">
      <c r="A12" s="0" t="s">
        <v>225</v>
      </c>
      <c r="B12" s="0" t="s">
        <v>90</v>
      </c>
      <c r="C12" s="41" t="s">
        <v>203</v>
      </c>
      <c r="D12" s="0" t="s">
        <v>226</v>
      </c>
      <c r="E12" s="41" t="s">
        <v>227</v>
      </c>
      <c r="F12" s="41" t="s">
        <v>198</v>
      </c>
      <c r="G12" s="0" t="s">
        <v>115</v>
      </c>
      <c r="H12" s="0" t="str">
        <f aca="false">IF(OR($B12="",$B12&lt;&gt;PASSAPORTE!$B$4),"",COUNTIF($B$2:$B12,PASSAPORTE!$B$4))</f>
        <v/>
      </c>
    </row>
    <row r="13" customFormat="false" ht="13.8" hidden="false" customHeight="false" outlineLevel="0" collapsed="false">
      <c r="A13" s="0" t="s">
        <v>228</v>
      </c>
      <c r="B13" s="0" t="s">
        <v>90</v>
      </c>
      <c r="C13" s="41" t="s">
        <v>203</v>
      </c>
      <c r="D13" s="0" t="s">
        <v>229</v>
      </c>
      <c r="E13" s="41" t="s">
        <v>227</v>
      </c>
      <c r="F13" s="41" t="s">
        <v>205</v>
      </c>
      <c r="G13" s="0" t="s">
        <v>115</v>
      </c>
      <c r="H13" s="0" t="str">
        <f aca="false">IF(OR($B13="",$B13&lt;&gt;PASSAPORTE!$B$4),"",COUNTIF($B$2:$B13,PASSAPORTE!$B$4))</f>
        <v/>
      </c>
    </row>
    <row r="14" customFormat="false" ht="13.8" hidden="false" customHeight="false" outlineLevel="0" collapsed="false">
      <c r="A14" s="0" t="s">
        <v>230</v>
      </c>
      <c r="B14" s="0" t="s">
        <v>90</v>
      </c>
      <c r="C14" s="41" t="s">
        <v>203</v>
      </c>
      <c r="D14" s="0" t="s">
        <v>231</v>
      </c>
      <c r="E14" s="41" t="s">
        <v>140</v>
      </c>
      <c r="F14" s="41" t="s">
        <v>198</v>
      </c>
      <c r="G14" s="0" t="s">
        <v>115</v>
      </c>
      <c r="H14" s="0" t="str">
        <f aca="false">IF(OR($B14="",$B14&lt;&gt;PASSAPORTE!$B$4),"",COUNTIF($B$2:$B14,PASSAPORTE!$B$4))</f>
        <v/>
      </c>
    </row>
    <row r="15" customFormat="false" ht="13.8" hidden="false" customHeight="false" outlineLevel="0" collapsed="false">
      <c r="A15" s="0" t="s">
        <v>232</v>
      </c>
      <c r="B15" s="0" t="s">
        <v>90</v>
      </c>
      <c r="C15" s="41" t="s">
        <v>200</v>
      </c>
      <c r="D15" s="0" t="s">
        <v>233</v>
      </c>
      <c r="E15" s="41" t="s">
        <v>131</v>
      </c>
      <c r="F15" s="41" t="s">
        <v>198</v>
      </c>
      <c r="G15" s="0" t="s">
        <v>234</v>
      </c>
      <c r="H15" s="0" t="str">
        <f aca="false">IF(OR($B15="",$B15&lt;&gt;PASSAPORTE!$B$4),"",COUNTIF($B$2:$B15,PASSAPORTE!$B$4))</f>
        <v/>
      </c>
    </row>
    <row r="16" customFormat="false" ht="13.8" hidden="false" customHeight="false" outlineLevel="0" collapsed="false">
      <c r="A16" s="0" t="s">
        <v>235</v>
      </c>
      <c r="B16" s="0" t="s">
        <v>90</v>
      </c>
      <c r="C16" s="41" t="s">
        <v>196</v>
      </c>
      <c r="D16" s="0" t="s">
        <v>236</v>
      </c>
      <c r="E16" s="41" t="s">
        <v>131</v>
      </c>
      <c r="F16" s="41" t="s">
        <v>205</v>
      </c>
      <c r="G16" s="0" t="s">
        <v>118</v>
      </c>
      <c r="H16" s="0" t="str">
        <f aca="false">IF(OR($B16="",$B16&lt;&gt;PASSAPORTE!$B$4),"",COUNTIF($B$2:$B16,PASSAPORTE!$B$4))</f>
        <v/>
      </c>
    </row>
    <row r="17" customFormat="false" ht="13.8" hidden="false" customHeight="false" outlineLevel="0" collapsed="false">
      <c r="A17" s="0" t="s">
        <v>237</v>
      </c>
      <c r="B17" s="0" t="s">
        <v>91</v>
      </c>
      <c r="C17" s="41" t="s">
        <v>196</v>
      </c>
      <c r="D17" s="0" t="s">
        <v>238</v>
      </c>
      <c r="E17" s="41" t="s">
        <v>124</v>
      </c>
      <c r="F17" s="41" t="s">
        <v>208</v>
      </c>
      <c r="G17" s="0" t="s">
        <v>239</v>
      </c>
      <c r="H17" s="42" t="str">
        <f aca="false">IF(OR($B17="",$B17&lt;&gt;PASSAPORTE!$B$4),"",COUNTIF($B$2:$B17,PASSAPORTE!$B$4))</f>
        <v/>
      </c>
    </row>
    <row r="18" customFormat="false" ht="13.8" hidden="false" customHeight="false" outlineLevel="0" collapsed="false">
      <c r="A18" s="0" t="s">
        <v>240</v>
      </c>
      <c r="B18" s="0" t="s">
        <v>91</v>
      </c>
      <c r="C18" s="41" t="s">
        <v>200</v>
      </c>
      <c r="D18" s="0" t="s">
        <v>241</v>
      </c>
      <c r="E18" s="41" t="s">
        <v>124</v>
      </c>
      <c r="F18" s="41" t="s">
        <v>208</v>
      </c>
      <c r="G18" s="0" t="s">
        <v>242</v>
      </c>
      <c r="H18" s="42" t="str">
        <f aca="false">IF(OR($B18="",$B18&lt;&gt;PASSAPORTE!$B$4),"",COUNTIF($B$2:$B18,PASSAPORTE!$B$4))</f>
        <v/>
      </c>
    </row>
    <row r="19" customFormat="false" ht="13.8" hidden="false" customHeight="false" outlineLevel="0" collapsed="false">
      <c r="A19" s="0" t="s">
        <v>243</v>
      </c>
      <c r="B19" s="0" t="s">
        <v>91</v>
      </c>
      <c r="C19" s="41" t="s">
        <v>203</v>
      </c>
      <c r="D19" s="0" t="s">
        <v>244</v>
      </c>
      <c r="E19" s="41" t="s">
        <v>124</v>
      </c>
      <c r="F19" s="41" t="s">
        <v>198</v>
      </c>
      <c r="G19" s="0" t="s">
        <v>102</v>
      </c>
      <c r="H19" s="42" t="str">
        <f aca="false">IF(OR($B19="",$B19&lt;&gt;PASSAPORTE!$B$4),"",COUNTIF($B$2:$B19,PASSAPORTE!$B$4))</f>
        <v/>
      </c>
    </row>
    <row r="20" customFormat="false" ht="13.8" hidden="false" customHeight="false" outlineLevel="0" collapsed="false">
      <c r="A20" s="0" t="s">
        <v>245</v>
      </c>
      <c r="B20" s="0" t="s">
        <v>88</v>
      </c>
      <c r="C20" s="41" t="s">
        <v>203</v>
      </c>
      <c r="D20" s="0" t="s">
        <v>246</v>
      </c>
      <c r="E20" s="41" t="s">
        <v>131</v>
      </c>
      <c r="F20" s="41" t="s">
        <v>198</v>
      </c>
      <c r="G20" s="0" t="s">
        <v>102</v>
      </c>
      <c r="H20" s="0" t="str">
        <f aca="false">IF(OR($B20="",$B20&lt;&gt;PASSAPORTE!$B$4),"",COUNTIF($B$2:$B20,PASSAPORTE!$B$4))</f>
        <v/>
      </c>
    </row>
    <row r="21" customFormat="false" ht="13.8" hidden="false" customHeight="false" outlineLevel="0" collapsed="false">
      <c r="A21" s="0" t="s">
        <v>247</v>
      </c>
      <c r="B21" s="0" t="s">
        <v>30</v>
      </c>
      <c r="C21" s="41" t="s">
        <v>203</v>
      </c>
      <c r="D21" s="0" t="s">
        <v>248</v>
      </c>
      <c r="E21" s="41" t="s">
        <v>124</v>
      </c>
      <c r="F21" s="41" t="s">
        <v>198</v>
      </c>
      <c r="G21" s="0" t="s">
        <v>102</v>
      </c>
      <c r="H21" s="0" t="n">
        <f aca="false">IF(OR($B21="",$B21&lt;&gt;PASSAPORTE!$B$4),"",COUNTIF($B$2:$B21,PASSAPORTE!$B$4))</f>
        <v>5</v>
      </c>
    </row>
    <row r="22" customFormat="false" ht="15" hidden="false" customHeight="false" outlineLevel="0" collapsed="false">
      <c r="C22" s="41"/>
      <c r="E22" s="41"/>
      <c r="F22" s="41"/>
    </row>
    <row r="23" customFormat="false" ht="15" hidden="false" customHeight="false" outlineLevel="0" collapsed="false">
      <c r="C23" s="41"/>
      <c r="E23" s="41"/>
      <c r="F23" s="41"/>
    </row>
    <row r="24" customFormat="false" ht="15" hidden="false" customHeight="false" outlineLevel="0" collapsed="false">
      <c r="C24" s="41"/>
      <c r="E24" s="41"/>
      <c r="F24" s="41"/>
    </row>
    <row r="25" customFormat="false" ht="15" hidden="false" customHeight="false" outlineLevel="0" collapsed="false">
      <c r="C25" s="41"/>
      <c r="E25" s="41"/>
      <c r="F25" s="41"/>
    </row>
    <row r="26" customFormat="false" ht="15" hidden="false" customHeight="false" outlineLevel="0" collapsed="false">
      <c r="C26" s="41"/>
      <c r="E26" s="41"/>
      <c r="F26" s="41"/>
    </row>
    <row r="27" customFormat="false" ht="15" hidden="false" customHeight="false" outlineLevel="0" collapsed="false">
      <c r="C27" s="41"/>
      <c r="E27" s="41"/>
      <c r="F27" s="41"/>
    </row>
    <row r="28" customFormat="false" ht="15" hidden="false" customHeight="false" outlineLevel="0" collapsed="false">
      <c r="C28" s="41"/>
      <c r="E28" s="41"/>
      <c r="F28" s="41"/>
    </row>
    <row r="29" customFormat="false" ht="15" hidden="false" customHeight="false" outlineLevel="0" collapsed="false">
      <c r="C29" s="41"/>
      <c r="E29" s="41"/>
      <c r="F29" s="41"/>
    </row>
    <row r="30" customFormat="false" ht="15" hidden="false" customHeight="false" outlineLevel="0" collapsed="false">
      <c r="C30" s="41"/>
      <c r="E30" s="41"/>
      <c r="F30" s="41"/>
    </row>
    <row r="31" customFormat="false" ht="15" hidden="false" customHeight="false" outlineLevel="0" collapsed="false">
      <c r="C31" s="41"/>
      <c r="E31" s="41"/>
      <c r="F31" s="41"/>
    </row>
    <row r="32" customFormat="false" ht="15" hidden="false" customHeight="false" outlineLevel="0" collapsed="false">
      <c r="C32" s="41"/>
      <c r="E32" s="41"/>
      <c r="F32" s="41"/>
    </row>
    <row r="33" customFormat="false" ht="15" hidden="false" customHeight="false" outlineLevel="0" collapsed="false">
      <c r="C33" s="41"/>
      <c r="E33" s="41"/>
      <c r="F33" s="41"/>
    </row>
    <row r="34" customFormat="false" ht="15" hidden="false" customHeight="false" outlineLevel="0" collapsed="false">
      <c r="C34" s="41"/>
      <c r="E34" s="41"/>
      <c r="F34" s="41"/>
    </row>
    <row r="35" customFormat="false" ht="15" hidden="false" customHeight="false" outlineLevel="0" collapsed="false">
      <c r="C35" s="41"/>
      <c r="E35" s="41"/>
      <c r="F35" s="41"/>
    </row>
    <row r="36" customFormat="false" ht="15" hidden="false" customHeight="false" outlineLevel="0" collapsed="false">
      <c r="C36" s="41"/>
      <c r="E36" s="41"/>
      <c r="F36" s="41"/>
    </row>
    <row r="37" customFormat="false" ht="15" hidden="false" customHeight="false" outlineLevel="0" collapsed="false">
      <c r="C37" s="41"/>
      <c r="E37" s="41"/>
      <c r="F37" s="41"/>
    </row>
    <row r="38" customFormat="false" ht="15" hidden="false" customHeight="false" outlineLevel="0" collapsed="false">
      <c r="C38" s="41"/>
      <c r="E38" s="41"/>
      <c r="F38" s="41"/>
    </row>
    <row r="39" customFormat="false" ht="15" hidden="false" customHeight="false" outlineLevel="0" collapsed="false">
      <c r="C39" s="41"/>
      <c r="E39" s="41"/>
      <c r="F39" s="41"/>
    </row>
    <row r="40" customFormat="false" ht="15" hidden="false" customHeight="false" outlineLevel="0" collapsed="false">
      <c r="C40" s="41"/>
      <c r="E40" s="41"/>
      <c r="F40" s="41"/>
    </row>
    <row r="41" customFormat="false" ht="15" hidden="false" customHeight="false" outlineLevel="0" collapsed="false">
      <c r="C41" s="41"/>
      <c r="E41" s="41"/>
      <c r="F41" s="41"/>
    </row>
    <row r="42" customFormat="false" ht="15" hidden="false" customHeight="false" outlineLevel="0" collapsed="false">
      <c r="C42" s="41"/>
      <c r="E42" s="41"/>
      <c r="F42" s="41"/>
    </row>
    <row r="43" customFormat="false" ht="15" hidden="false" customHeight="false" outlineLevel="0" collapsed="false">
      <c r="C43" s="41"/>
      <c r="E43" s="41"/>
      <c r="F43" s="41"/>
    </row>
    <row r="44" customFormat="false" ht="15" hidden="false" customHeight="false" outlineLevel="0" collapsed="false">
      <c r="C44" s="41"/>
      <c r="E44" s="41"/>
      <c r="F44" s="41"/>
    </row>
    <row r="45" customFormat="false" ht="15" hidden="false" customHeight="false" outlineLevel="0" collapsed="false">
      <c r="C45" s="41"/>
      <c r="E45" s="41"/>
      <c r="F45" s="41"/>
    </row>
    <row r="46" customFormat="false" ht="15" hidden="false" customHeight="false" outlineLevel="0" collapsed="false">
      <c r="C46" s="41"/>
      <c r="E46" s="41"/>
      <c r="F46" s="41"/>
    </row>
    <row r="47" customFormat="false" ht="15" hidden="false" customHeight="false" outlineLevel="0" collapsed="false">
      <c r="C47" s="41"/>
      <c r="E47" s="41"/>
      <c r="F47" s="41"/>
    </row>
    <row r="48" customFormat="false" ht="15" hidden="false" customHeight="false" outlineLevel="0" collapsed="false">
      <c r="C48" s="41"/>
      <c r="E48" s="41"/>
      <c r="F48" s="41"/>
    </row>
    <row r="49" customFormat="false" ht="15" hidden="false" customHeight="false" outlineLevel="0" collapsed="false">
      <c r="C49" s="41"/>
      <c r="E49" s="41"/>
      <c r="F49" s="41"/>
    </row>
    <row r="50" customFormat="false" ht="15" hidden="false" customHeight="false" outlineLevel="0" collapsed="false">
      <c r="C50" s="41"/>
      <c r="E50" s="41"/>
      <c r="F50" s="41"/>
    </row>
    <row r="51" customFormat="false" ht="15" hidden="false" customHeight="false" outlineLevel="0" collapsed="false">
      <c r="C51" s="41"/>
      <c r="E51" s="41"/>
      <c r="F51" s="41"/>
    </row>
    <row r="52" customFormat="false" ht="15" hidden="false" customHeight="false" outlineLevel="0" collapsed="false">
      <c r="C52" s="41"/>
      <c r="E52" s="41"/>
      <c r="F52" s="41"/>
    </row>
    <row r="53" customFormat="false" ht="15" hidden="false" customHeight="false" outlineLevel="0" collapsed="false">
      <c r="C53" s="41"/>
      <c r="E53" s="41"/>
      <c r="F53" s="41"/>
    </row>
    <row r="54" customFormat="false" ht="15" hidden="false" customHeight="false" outlineLevel="0" collapsed="false">
      <c r="C54" s="41"/>
      <c r="E54" s="41"/>
      <c r="F54" s="41"/>
    </row>
    <row r="55" customFormat="false" ht="15" hidden="false" customHeight="false" outlineLevel="0" collapsed="false">
      <c r="C55" s="41"/>
      <c r="E55" s="41"/>
      <c r="F55" s="41"/>
    </row>
    <row r="56" customFormat="false" ht="15" hidden="false" customHeight="false" outlineLevel="0" collapsed="false">
      <c r="C56" s="41"/>
      <c r="E56" s="41"/>
      <c r="F56" s="41"/>
    </row>
    <row r="57" customFormat="false" ht="15" hidden="false" customHeight="false" outlineLevel="0" collapsed="false">
      <c r="C57" s="41"/>
      <c r="E57" s="41"/>
      <c r="F57" s="41"/>
    </row>
    <row r="58" customFormat="false" ht="15" hidden="false" customHeight="false" outlineLevel="0" collapsed="false">
      <c r="C58" s="41"/>
      <c r="E58" s="41"/>
      <c r="F58" s="41"/>
    </row>
    <row r="59" customFormat="false" ht="15" hidden="false" customHeight="false" outlineLevel="0" collapsed="false">
      <c r="C59" s="41"/>
      <c r="E59" s="41"/>
      <c r="F59" s="41"/>
    </row>
    <row r="60" customFormat="false" ht="15" hidden="false" customHeight="false" outlineLevel="0" collapsed="false">
      <c r="C60" s="41"/>
      <c r="E60" s="41"/>
      <c r="F60" s="41"/>
    </row>
    <row r="61" customFormat="false" ht="15" hidden="false" customHeight="false" outlineLevel="0" collapsed="false">
      <c r="C61" s="41"/>
      <c r="E61" s="41"/>
      <c r="F61" s="41"/>
    </row>
    <row r="62" customFormat="false" ht="15" hidden="false" customHeight="false" outlineLevel="0" collapsed="false">
      <c r="C62" s="41"/>
      <c r="E62" s="41"/>
      <c r="F62" s="41"/>
    </row>
    <row r="63" customFormat="false" ht="15" hidden="false" customHeight="false" outlineLevel="0" collapsed="false">
      <c r="C63" s="41"/>
      <c r="E63" s="41"/>
      <c r="F63" s="41"/>
    </row>
    <row r="64" customFormat="false" ht="15" hidden="false" customHeight="false" outlineLevel="0" collapsed="false">
      <c r="C64" s="41"/>
      <c r="E64" s="41"/>
      <c r="F64" s="41"/>
    </row>
    <row r="65" customFormat="false" ht="15" hidden="false" customHeight="false" outlineLevel="0" collapsed="false">
      <c r="C65" s="41"/>
      <c r="E65" s="41"/>
      <c r="F65" s="41"/>
    </row>
    <row r="66" customFormat="false" ht="15" hidden="false" customHeight="false" outlineLevel="0" collapsed="false">
      <c r="C66" s="41"/>
      <c r="E66" s="41"/>
      <c r="F66" s="41"/>
    </row>
    <row r="67" customFormat="false" ht="15" hidden="false" customHeight="false" outlineLevel="0" collapsed="false">
      <c r="C67" s="41"/>
      <c r="E67" s="41"/>
      <c r="F67" s="41"/>
    </row>
    <row r="68" customFormat="false" ht="15" hidden="false" customHeight="false" outlineLevel="0" collapsed="false">
      <c r="C68" s="41"/>
      <c r="E68" s="41"/>
      <c r="F68" s="41"/>
    </row>
    <row r="69" customFormat="false" ht="15" hidden="false" customHeight="false" outlineLevel="0" collapsed="false">
      <c r="C69" s="41"/>
      <c r="E69" s="41"/>
      <c r="F69" s="41"/>
    </row>
    <row r="70" customFormat="false" ht="15" hidden="false" customHeight="false" outlineLevel="0" collapsed="false">
      <c r="C70" s="41"/>
      <c r="E70" s="41"/>
      <c r="F70" s="41"/>
    </row>
    <row r="71" customFormat="false" ht="15" hidden="false" customHeight="false" outlineLevel="0" collapsed="false">
      <c r="C71" s="41"/>
      <c r="E71" s="41"/>
      <c r="F71" s="41"/>
    </row>
    <row r="72" customFormat="false" ht="15" hidden="false" customHeight="false" outlineLevel="0" collapsed="false">
      <c r="C72" s="41"/>
      <c r="E72" s="41"/>
      <c r="F72" s="41"/>
    </row>
    <row r="73" customFormat="false" ht="15" hidden="false" customHeight="false" outlineLevel="0" collapsed="false">
      <c r="C73" s="41"/>
      <c r="E73" s="41"/>
      <c r="F73" s="41"/>
    </row>
    <row r="74" customFormat="false" ht="15" hidden="false" customHeight="false" outlineLevel="0" collapsed="false">
      <c r="C74" s="41"/>
      <c r="E74" s="41"/>
      <c r="F74" s="41"/>
    </row>
    <row r="75" customFormat="false" ht="15" hidden="false" customHeight="false" outlineLevel="0" collapsed="false">
      <c r="C75" s="41"/>
      <c r="E75" s="41"/>
      <c r="F75" s="41"/>
    </row>
    <row r="76" customFormat="false" ht="15" hidden="false" customHeight="false" outlineLevel="0" collapsed="false">
      <c r="C76" s="41"/>
      <c r="E76" s="41"/>
      <c r="F76" s="41"/>
    </row>
    <row r="77" customFormat="false" ht="15" hidden="false" customHeight="false" outlineLevel="0" collapsed="false">
      <c r="C77" s="41"/>
      <c r="E77" s="41"/>
      <c r="F77" s="41"/>
    </row>
    <row r="78" customFormat="false" ht="15" hidden="false" customHeight="false" outlineLevel="0" collapsed="false">
      <c r="C78" s="41"/>
      <c r="E78" s="41"/>
      <c r="F78" s="41"/>
    </row>
    <row r="79" customFormat="false" ht="15" hidden="false" customHeight="false" outlineLevel="0" collapsed="false">
      <c r="C79" s="41"/>
      <c r="E79" s="41"/>
      <c r="F79" s="41"/>
    </row>
    <row r="80" customFormat="false" ht="15" hidden="false" customHeight="false" outlineLevel="0" collapsed="false">
      <c r="C80" s="41"/>
      <c r="E80" s="41"/>
      <c r="F80" s="41"/>
    </row>
    <row r="81" customFormat="false" ht="15" hidden="false" customHeight="false" outlineLevel="0" collapsed="false">
      <c r="C81" s="41"/>
      <c r="E81" s="41"/>
      <c r="F81" s="41"/>
    </row>
    <row r="82" customFormat="false" ht="15" hidden="false" customHeight="false" outlineLevel="0" collapsed="false">
      <c r="C82" s="41"/>
      <c r="E82" s="41"/>
      <c r="F82" s="41"/>
    </row>
    <row r="83" customFormat="false" ht="15" hidden="false" customHeight="false" outlineLevel="0" collapsed="false">
      <c r="C83" s="41"/>
      <c r="E83" s="41"/>
      <c r="F83" s="41"/>
    </row>
    <row r="84" customFormat="false" ht="15" hidden="false" customHeight="false" outlineLevel="0" collapsed="false">
      <c r="C84" s="41"/>
      <c r="E84" s="41"/>
      <c r="F84" s="41"/>
    </row>
    <row r="85" customFormat="false" ht="15" hidden="false" customHeight="false" outlineLevel="0" collapsed="false">
      <c r="C85" s="41"/>
      <c r="E85" s="41"/>
      <c r="F85" s="41"/>
    </row>
    <row r="86" customFormat="false" ht="15" hidden="false" customHeight="false" outlineLevel="0" collapsed="false">
      <c r="C86" s="41"/>
      <c r="E86" s="41"/>
      <c r="F86" s="41"/>
    </row>
    <row r="87" customFormat="false" ht="15" hidden="false" customHeight="false" outlineLevel="0" collapsed="false">
      <c r="C87" s="41"/>
      <c r="E87" s="41"/>
      <c r="F87" s="41"/>
    </row>
    <row r="88" customFormat="false" ht="15" hidden="false" customHeight="false" outlineLevel="0" collapsed="false">
      <c r="C88" s="41"/>
      <c r="E88" s="41"/>
      <c r="F88" s="41"/>
    </row>
    <row r="89" customFormat="false" ht="15" hidden="false" customHeight="false" outlineLevel="0" collapsed="false">
      <c r="C89" s="41"/>
      <c r="E89" s="41"/>
      <c r="F89" s="41"/>
    </row>
    <row r="90" customFormat="false" ht="15" hidden="false" customHeight="false" outlineLevel="0" collapsed="false">
      <c r="C90" s="41"/>
      <c r="E90" s="41"/>
      <c r="F90" s="41"/>
    </row>
    <row r="91" customFormat="false" ht="15" hidden="false" customHeight="false" outlineLevel="0" collapsed="false">
      <c r="C91" s="41"/>
      <c r="E91" s="41"/>
      <c r="F91" s="41"/>
    </row>
    <row r="92" customFormat="false" ht="15" hidden="false" customHeight="false" outlineLevel="0" collapsed="false">
      <c r="C92" s="41"/>
      <c r="E92" s="41"/>
      <c r="F92" s="41"/>
    </row>
    <row r="93" customFormat="false" ht="15" hidden="false" customHeight="false" outlineLevel="0" collapsed="false">
      <c r="C93" s="41"/>
      <c r="E93" s="41"/>
      <c r="F93" s="41"/>
    </row>
    <row r="94" customFormat="false" ht="15" hidden="false" customHeight="false" outlineLevel="0" collapsed="false">
      <c r="C94" s="41"/>
      <c r="E94" s="41"/>
      <c r="F94" s="41"/>
    </row>
    <row r="95" customFormat="false" ht="15" hidden="false" customHeight="false" outlineLevel="0" collapsed="false">
      <c r="C95" s="41"/>
      <c r="E95" s="41"/>
      <c r="F95" s="41"/>
    </row>
    <row r="96" customFormat="false" ht="15" hidden="false" customHeight="false" outlineLevel="0" collapsed="false">
      <c r="C96" s="41"/>
      <c r="E96" s="41"/>
      <c r="F96" s="41"/>
    </row>
    <row r="97" customFormat="false" ht="15" hidden="false" customHeight="false" outlineLevel="0" collapsed="false">
      <c r="C97" s="41"/>
      <c r="E97" s="41"/>
      <c r="F97" s="41"/>
    </row>
    <row r="98" customFormat="false" ht="15" hidden="false" customHeight="false" outlineLevel="0" collapsed="false">
      <c r="C98" s="41"/>
      <c r="E98" s="41"/>
      <c r="F98" s="41"/>
    </row>
    <row r="99" customFormat="false" ht="15" hidden="false" customHeight="false" outlineLevel="0" collapsed="false">
      <c r="C99" s="41"/>
      <c r="E99" s="41"/>
      <c r="F99" s="41"/>
    </row>
    <row r="100" customFormat="false" ht="15" hidden="false" customHeight="false" outlineLevel="0" collapsed="false">
      <c r="C100" s="41"/>
      <c r="E100" s="41"/>
      <c r="F100" s="41"/>
    </row>
    <row r="101" customFormat="false" ht="15" hidden="false" customHeight="false" outlineLevel="0" collapsed="false">
      <c r="C101" s="41"/>
      <c r="E101" s="41"/>
      <c r="F101" s="41"/>
    </row>
    <row r="102" customFormat="false" ht="15" hidden="false" customHeight="false" outlineLevel="0" collapsed="false">
      <c r="C102" s="41"/>
      <c r="E102" s="41"/>
      <c r="F102" s="41"/>
    </row>
    <row r="103" customFormat="false" ht="15" hidden="false" customHeight="false" outlineLevel="0" collapsed="false">
      <c r="C103" s="41"/>
      <c r="E103" s="41"/>
      <c r="F103" s="41"/>
    </row>
    <row r="104" customFormat="false" ht="15" hidden="false" customHeight="false" outlineLevel="0" collapsed="false">
      <c r="C104" s="41"/>
      <c r="E104" s="41"/>
      <c r="F104" s="41"/>
    </row>
    <row r="105" customFormat="false" ht="15" hidden="false" customHeight="false" outlineLevel="0" collapsed="false">
      <c r="C105" s="41"/>
      <c r="E105" s="41"/>
      <c r="F105" s="41"/>
    </row>
    <row r="106" customFormat="false" ht="15" hidden="false" customHeight="false" outlineLevel="0" collapsed="false">
      <c r="C106" s="41"/>
      <c r="E106" s="41"/>
      <c r="F106" s="41"/>
    </row>
    <row r="107" customFormat="false" ht="15" hidden="false" customHeight="false" outlineLevel="0" collapsed="false">
      <c r="C107" s="41"/>
      <c r="E107" s="41"/>
      <c r="F107" s="41"/>
    </row>
    <row r="108" customFormat="false" ht="15" hidden="false" customHeight="false" outlineLevel="0" collapsed="false">
      <c r="C108" s="41"/>
      <c r="E108" s="41"/>
      <c r="F108" s="41"/>
    </row>
    <row r="109" customFormat="false" ht="15" hidden="false" customHeight="false" outlineLevel="0" collapsed="false">
      <c r="C109" s="41"/>
      <c r="E109" s="41"/>
      <c r="F109" s="41"/>
    </row>
    <row r="110" customFormat="false" ht="15" hidden="false" customHeight="false" outlineLevel="0" collapsed="false">
      <c r="C110" s="41"/>
      <c r="E110" s="41"/>
      <c r="F110" s="41"/>
    </row>
    <row r="111" customFormat="false" ht="15" hidden="false" customHeight="false" outlineLevel="0" collapsed="false">
      <c r="C111" s="41"/>
      <c r="E111" s="41"/>
      <c r="F111" s="41"/>
    </row>
    <row r="112" customFormat="false" ht="15" hidden="false" customHeight="false" outlineLevel="0" collapsed="false">
      <c r="C112" s="41"/>
      <c r="E112" s="41"/>
      <c r="F112" s="41"/>
    </row>
    <row r="113" customFormat="false" ht="15" hidden="false" customHeight="false" outlineLevel="0" collapsed="false">
      <c r="C113" s="41"/>
      <c r="E113" s="41"/>
      <c r="F113" s="41"/>
    </row>
    <row r="114" customFormat="false" ht="15" hidden="false" customHeight="false" outlineLevel="0" collapsed="false">
      <c r="C114" s="41"/>
      <c r="E114" s="41"/>
      <c r="F114" s="41"/>
    </row>
    <row r="115" customFormat="false" ht="15" hidden="false" customHeight="false" outlineLevel="0" collapsed="false">
      <c r="C115" s="41"/>
      <c r="E115" s="41"/>
      <c r="F115" s="41"/>
    </row>
    <row r="116" customFormat="false" ht="15" hidden="false" customHeight="false" outlineLevel="0" collapsed="false">
      <c r="C116" s="41"/>
      <c r="E116" s="41"/>
      <c r="F116" s="41"/>
    </row>
    <row r="117" customFormat="false" ht="15" hidden="false" customHeight="false" outlineLevel="0" collapsed="false">
      <c r="C117" s="41"/>
      <c r="E117" s="41"/>
      <c r="F117" s="41"/>
    </row>
    <row r="118" customFormat="false" ht="15" hidden="false" customHeight="false" outlineLevel="0" collapsed="false">
      <c r="C118" s="41"/>
      <c r="E118" s="41"/>
      <c r="F118" s="41"/>
    </row>
    <row r="119" customFormat="false" ht="15" hidden="false" customHeight="false" outlineLevel="0" collapsed="false">
      <c r="C119" s="41"/>
      <c r="E119" s="41"/>
      <c r="F119" s="41"/>
    </row>
    <row r="120" customFormat="false" ht="15" hidden="false" customHeight="false" outlineLevel="0" collapsed="false">
      <c r="C120" s="41"/>
      <c r="E120" s="41"/>
      <c r="F120" s="41"/>
    </row>
    <row r="121" customFormat="false" ht="15" hidden="false" customHeight="false" outlineLevel="0" collapsed="false">
      <c r="C121" s="41"/>
      <c r="E121" s="41"/>
      <c r="F121" s="41"/>
    </row>
    <row r="122" customFormat="false" ht="15" hidden="false" customHeight="false" outlineLevel="0" collapsed="false">
      <c r="C122" s="41"/>
      <c r="E122" s="41"/>
      <c r="F122" s="41"/>
    </row>
    <row r="123" customFormat="false" ht="15" hidden="false" customHeight="false" outlineLevel="0" collapsed="false">
      <c r="C123" s="41"/>
      <c r="E123" s="41"/>
      <c r="F123" s="41"/>
    </row>
    <row r="124" customFormat="false" ht="15" hidden="false" customHeight="false" outlineLevel="0" collapsed="false">
      <c r="C124" s="41"/>
      <c r="E124" s="41"/>
      <c r="F124" s="41"/>
    </row>
    <row r="125" customFormat="false" ht="15" hidden="false" customHeight="false" outlineLevel="0" collapsed="false">
      <c r="C125" s="41"/>
      <c r="E125" s="41"/>
      <c r="F125" s="41"/>
    </row>
    <row r="126" customFormat="false" ht="15" hidden="false" customHeight="false" outlineLevel="0" collapsed="false">
      <c r="C126" s="41"/>
      <c r="E126" s="41"/>
      <c r="F126" s="41"/>
    </row>
    <row r="127" customFormat="false" ht="15" hidden="false" customHeight="false" outlineLevel="0" collapsed="false">
      <c r="C127" s="41"/>
      <c r="E127" s="41"/>
      <c r="F127" s="41"/>
    </row>
    <row r="128" customFormat="false" ht="15" hidden="false" customHeight="false" outlineLevel="0" collapsed="false">
      <c r="C128" s="41"/>
      <c r="E128" s="41"/>
      <c r="F128" s="41"/>
    </row>
    <row r="129" customFormat="false" ht="15" hidden="false" customHeight="false" outlineLevel="0" collapsed="false">
      <c r="C129" s="41"/>
      <c r="E129" s="41"/>
      <c r="F129" s="41"/>
    </row>
    <row r="130" customFormat="false" ht="15" hidden="false" customHeight="false" outlineLevel="0" collapsed="false">
      <c r="C130" s="41"/>
      <c r="E130" s="41"/>
      <c r="F130" s="41"/>
    </row>
    <row r="131" customFormat="false" ht="15" hidden="false" customHeight="false" outlineLevel="0" collapsed="false">
      <c r="C131" s="41"/>
      <c r="E131" s="41"/>
      <c r="F131" s="41"/>
    </row>
    <row r="132" customFormat="false" ht="15" hidden="false" customHeight="false" outlineLevel="0" collapsed="false">
      <c r="C132" s="41"/>
      <c r="E132" s="41"/>
      <c r="F132" s="41"/>
    </row>
    <row r="133" customFormat="false" ht="15" hidden="false" customHeight="false" outlineLevel="0" collapsed="false">
      <c r="C133" s="41"/>
      <c r="E133" s="41"/>
      <c r="F133" s="41"/>
    </row>
    <row r="134" customFormat="false" ht="15" hidden="false" customHeight="false" outlineLevel="0" collapsed="false">
      <c r="C134" s="41"/>
      <c r="E134" s="41"/>
      <c r="F134" s="41"/>
    </row>
    <row r="135" customFormat="false" ht="15" hidden="false" customHeight="false" outlineLevel="0" collapsed="false">
      <c r="C135" s="41"/>
      <c r="E135" s="41"/>
      <c r="F135" s="41"/>
    </row>
    <row r="136" customFormat="false" ht="15" hidden="false" customHeight="false" outlineLevel="0" collapsed="false">
      <c r="C136" s="41"/>
      <c r="E136" s="41"/>
      <c r="F136" s="41"/>
    </row>
    <row r="137" customFormat="false" ht="15" hidden="false" customHeight="false" outlineLevel="0" collapsed="false">
      <c r="C137" s="41"/>
      <c r="E137" s="41"/>
      <c r="F137" s="41"/>
    </row>
    <row r="138" customFormat="false" ht="15" hidden="false" customHeight="false" outlineLevel="0" collapsed="false">
      <c r="C138" s="41"/>
      <c r="E138" s="41"/>
      <c r="F138" s="41"/>
    </row>
    <row r="139" customFormat="false" ht="15" hidden="false" customHeight="false" outlineLevel="0" collapsed="false">
      <c r="C139" s="41"/>
      <c r="E139" s="41"/>
      <c r="F139" s="41"/>
    </row>
    <row r="140" customFormat="false" ht="15" hidden="false" customHeight="false" outlineLevel="0" collapsed="false">
      <c r="C140" s="41"/>
      <c r="E140" s="41"/>
      <c r="F140" s="41"/>
    </row>
    <row r="141" customFormat="false" ht="15" hidden="false" customHeight="false" outlineLevel="0" collapsed="false">
      <c r="C141" s="41"/>
      <c r="E141" s="41"/>
      <c r="F141" s="41"/>
    </row>
    <row r="142" customFormat="false" ht="15" hidden="false" customHeight="false" outlineLevel="0" collapsed="false">
      <c r="C142" s="41"/>
      <c r="E142" s="41"/>
      <c r="F142" s="41"/>
    </row>
    <row r="143" customFormat="false" ht="15" hidden="false" customHeight="false" outlineLevel="0" collapsed="false">
      <c r="C143" s="41"/>
      <c r="E143" s="41"/>
      <c r="F143" s="41"/>
    </row>
    <row r="144" customFormat="false" ht="15" hidden="false" customHeight="false" outlineLevel="0" collapsed="false">
      <c r="C144" s="41"/>
      <c r="E144" s="41"/>
      <c r="F144" s="41"/>
    </row>
    <row r="145" customFormat="false" ht="15" hidden="false" customHeight="false" outlineLevel="0" collapsed="false">
      <c r="C145" s="41"/>
      <c r="E145" s="41"/>
      <c r="F145" s="41"/>
    </row>
    <row r="146" customFormat="false" ht="15" hidden="false" customHeight="false" outlineLevel="0" collapsed="false">
      <c r="C146" s="41"/>
      <c r="E146" s="41"/>
      <c r="F146" s="41"/>
    </row>
    <row r="147" customFormat="false" ht="15" hidden="false" customHeight="false" outlineLevel="0" collapsed="false">
      <c r="C147" s="41"/>
      <c r="E147" s="41"/>
      <c r="F147" s="41"/>
    </row>
    <row r="148" customFormat="false" ht="15" hidden="false" customHeight="false" outlineLevel="0" collapsed="false">
      <c r="C148" s="41"/>
      <c r="E148" s="41"/>
      <c r="F148" s="41"/>
    </row>
    <row r="149" customFormat="false" ht="15" hidden="false" customHeight="false" outlineLevel="0" collapsed="false">
      <c r="C149" s="41"/>
      <c r="E149" s="41"/>
      <c r="F149" s="41"/>
    </row>
    <row r="150" customFormat="false" ht="15" hidden="false" customHeight="false" outlineLevel="0" collapsed="false">
      <c r="C150" s="41"/>
      <c r="E150" s="41"/>
      <c r="F150" s="41"/>
    </row>
    <row r="151" customFormat="false" ht="15" hidden="false" customHeight="false" outlineLevel="0" collapsed="false">
      <c r="C151" s="41"/>
      <c r="E151" s="41"/>
      <c r="F151" s="41"/>
    </row>
    <row r="152" customFormat="false" ht="15" hidden="false" customHeight="false" outlineLevel="0" collapsed="false">
      <c r="C152" s="41"/>
      <c r="E152" s="41"/>
      <c r="F152" s="41"/>
    </row>
    <row r="153" customFormat="false" ht="15" hidden="false" customHeight="false" outlineLevel="0" collapsed="false">
      <c r="C153" s="41"/>
      <c r="E153" s="41"/>
      <c r="F153" s="41"/>
    </row>
    <row r="154" customFormat="false" ht="15" hidden="false" customHeight="false" outlineLevel="0" collapsed="false">
      <c r="C154" s="41"/>
      <c r="E154" s="41"/>
      <c r="F154" s="41"/>
    </row>
    <row r="155" customFormat="false" ht="15" hidden="false" customHeight="false" outlineLevel="0" collapsed="false">
      <c r="C155" s="41"/>
      <c r="E155" s="41"/>
      <c r="F155" s="41"/>
    </row>
    <row r="156" customFormat="false" ht="15" hidden="false" customHeight="false" outlineLevel="0" collapsed="false">
      <c r="C156" s="41"/>
      <c r="E156" s="41"/>
      <c r="F156" s="41"/>
    </row>
    <row r="157" customFormat="false" ht="15" hidden="false" customHeight="false" outlineLevel="0" collapsed="false">
      <c r="C157" s="41"/>
      <c r="E157" s="41"/>
      <c r="F157" s="41"/>
    </row>
    <row r="158" customFormat="false" ht="15" hidden="false" customHeight="false" outlineLevel="0" collapsed="false">
      <c r="C158" s="41"/>
      <c r="E158" s="41"/>
      <c r="F158" s="41"/>
    </row>
    <row r="159" customFormat="false" ht="15" hidden="false" customHeight="false" outlineLevel="0" collapsed="false">
      <c r="C159" s="41"/>
      <c r="E159" s="41"/>
      <c r="F159" s="41"/>
    </row>
    <row r="160" customFormat="false" ht="15" hidden="false" customHeight="false" outlineLevel="0" collapsed="false">
      <c r="C160" s="41"/>
      <c r="E160" s="41"/>
      <c r="F160" s="41"/>
    </row>
    <row r="161" customFormat="false" ht="15" hidden="false" customHeight="false" outlineLevel="0" collapsed="false">
      <c r="C161" s="41"/>
      <c r="E161" s="41"/>
      <c r="F161" s="41"/>
    </row>
    <row r="162" customFormat="false" ht="15" hidden="false" customHeight="false" outlineLevel="0" collapsed="false">
      <c r="C162" s="41"/>
      <c r="E162" s="41"/>
      <c r="F162" s="41"/>
    </row>
    <row r="163" customFormat="false" ht="15" hidden="false" customHeight="false" outlineLevel="0" collapsed="false">
      <c r="C163" s="41"/>
      <c r="E163" s="41"/>
      <c r="F163" s="41"/>
    </row>
    <row r="164" customFormat="false" ht="15" hidden="false" customHeight="false" outlineLevel="0" collapsed="false">
      <c r="C164" s="41"/>
      <c r="E164" s="41"/>
      <c r="F164" s="41"/>
    </row>
    <row r="165" customFormat="false" ht="15" hidden="false" customHeight="false" outlineLevel="0" collapsed="false">
      <c r="C165" s="41"/>
      <c r="E165" s="41"/>
      <c r="F165" s="41"/>
    </row>
    <row r="166" customFormat="false" ht="15" hidden="false" customHeight="false" outlineLevel="0" collapsed="false">
      <c r="C166" s="41"/>
      <c r="E166" s="41"/>
      <c r="F166" s="41"/>
    </row>
    <row r="167" customFormat="false" ht="15" hidden="false" customHeight="false" outlineLevel="0" collapsed="false">
      <c r="C167" s="41"/>
      <c r="E167" s="41"/>
      <c r="F167" s="41"/>
    </row>
    <row r="168" customFormat="false" ht="15" hidden="false" customHeight="false" outlineLevel="0" collapsed="false">
      <c r="C168" s="41"/>
      <c r="E168" s="41"/>
      <c r="F168" s="41"/>
    </row>
    <row r="169" customFormat="false" ht="15" hidden="false" customHeight="false" outlineLevel="0" collapsed="false">
      <c r="C169" s="41"/>
      <c r="E169" s="41"/>
      <c r="F169" s="41"/>
    </row>
    <row r="170" customFormat="false" ht="15" hidden="false" customHeight="false" outlineLevel="0" collapsed="false">
      <c r="C170" s="41"/>
      <c r="E170" s="41"/>
      <c r="F170" s="41"/>
    </row>
    <row r="171" customFormat="false" ht="15" hidden="false" customHeight="false" outlineLevel="0" collapsed="false">
      <c r="C171" s="41"/>
      <c r="E171" s="41"/>
      <c r="F171" s="41"/>
    </row>
    <row r="172" customFormat="false" ht="15" hidden="false" customHeight="false" outlineLevel="0" collapsed="false">
      <c r="C172" s="41"/>
      <c r="E172" s="41"/>
      <c r="F172" s="41"/>
    </row>
    <row r="173" customFormat="false" ht="15" hidden="false" customHeight="false" outlineLevel="0" collapsed="false">
      <c r="C173" s="41"/>
      <c r="E173" s="41"/>
      <c r="F173" s="41"/>
    </row>
    <row r="174" customFormat="false" ht="15" hidden="false" customHeight="false" outlineLevel="0" collapsed="false">
      <c r="C174" s="41"/>
      <c r="E174" s="41"/>
      <c r="F174" s="41"/>
    </row>
    <row r="175" customFormat="false" ht="15" hidden="false" customHeight="false" outlineLevel="0" collapsed="false">
      <c r="C175" s="41"/>
      <c r="E175" s="41"/>
      <c r="F175" s="41"/>
    </row>
    <row r="176" customFormat="false" ht="15" hidden="false" customHeight="false" outlineLevel="0" collapsed="false">
      <c r="C176" s="41"/>
      <c r="E176" s="41"/>
      <c r="F176" s="41"/>
    </row>
    <row r="177" customFormat="false" ht="15" hidden="false" customHeight="false" outlineLevel="0" collapsed="false">
      <c r="C177" s="41"/>
      <c r="E177" s="41"/>
      <c r="F177" s="41"/>
    </row>
    <row r="178" customFormat="false" ht="15" hidden="false" customHeight="false" outlineLevel="0" collapsed="false">
      <c r="C178" s="41"/>
      <c r="E178" s="41"/>
      <c r="F178" s="41"/>
    </row>
    <row r="179" customFormat="false" ht="15" hidden="false" customHeight="false" outlineLevel="0" collapsed="false">
      <c r="C179" s="41"/>
      <c r="E179" s="41"/>
      <c r="F179" s="41"/>
    </row>
    <row r="180" customFormat="false" ht="15" hidden="false" customHeight="false" outlineLevel="0" collapsed="false">
      <c r="C180" s="41"/>
      <c r="E180" s="41"/>
      <c r="F180" s="41"/>
    </row>
    <row r="181" customFormat="false" ht="15" hidden="false" customHeight="false" outlineLevel="0" collapsed="false">
      <c r="C181" s="41"/>
      <c r="E181" s="41"/>
      <c r="F181" s="41"/>
    </row>
    <row r="182" customFormat="false" ht="15" hidden="false" customHeight="false" outlineLevel="0" collapsed="false">
      <c r="C182" s="41"/>
      <c r="E182" s="41"/>
      <c r="F182" s="41"/>
    </row>
    <row r="183" customFormat="false" ht="15" hidden="false" customHeight="false" outlineLevel="0" collapsed="false">
      <c r="C183" s="41"/>
      <c r="E183" s="41"/>
      <c r="F183" s="41"/>
    </row>
    <row r="184" customFormat="false" ht="15" hidden="false" customHeight="false" outlineLevel="0" collapsed="false">
      <c r="C184" s="41"/>
      <c r="E184" s="41"/>
      <c r="F184" s="41"/>
    </row>
    <row r="185" customFormat="false" ht="15" hidden="false" customHeight="false" outlineLevel="0" collapsed="false">
      <c r="C185" s="41"/>
      <c r="E185" s="41"/>
      <c r="F185" s="41"/>
    </row>
    <row r="186" customFormat="false" ht="15" hidden="false" customHeight="false" outlineLevel="0" collapsed="false">
      <c r="C186" s="41"/>
      <c r="E186" s="41"/>
      <c r="F186" s="41"/>
    </row>
    <row r="187" customFormat="false" ht="15" hidden="false" customHeight="false" outlineLevel="0" collapsed="false">
      <c r="C187" s="41"/>
      <c r="E187" s="41"/>
      <c r="F187" s="41"/>
    </row>
    <row r="188" customFormat="false" ht="15" hidden="false" customHeight="false" outlineLevel="0" collapsed="false">
      <c r="C188" s="41"/>
      <c r="E188" s="41"/>
      <c r="F188" s="41"/>
    </row>
    <row r="189" customFormat="false" ht="15" hidden="false" customHeight="false" outlineLevel="0" collapsed="false">
      <c r="C189" s="41"/>
      <c r="E189" s="41"/>
      <c r="F189" s="41"/>
    </row>
    <row r="190" customFormat="false" ht="15" hidden="false" customHeight="false" outlineLevel="0" collapsed="false">
      <c r="C190" s="41"/>
      <c r="E190" s="41"/>
      <c r="F190" s="41"/>
    </row>
    <row r="191" customFormat="false" ht="15" hidden="false" customHeight="false" outlineLevel="0" collapsed="false">
      <c r="C191" s="41"/>
      <c r="E191" s="41"/>
      <c r="F191" s="41"/>
    </row>
    <row r="192" customFormat="false" ht="15" hidden="false" customHeight="false" outlineLevel="0" collapsed="false">
      <c r="C192" s="41"/>
      <c r="E192" s="41"/>
      <c r="F192" s="41"/>
    </row>
    <row r="193" customFormat="false" ht="15" hidden="false" customHeight="false" outlineLevel="0" collapsed="false">
      <c r="C193" s="41"/>
      <c r="E193" s="41"/>
      <c r="F193" s="41"/>
    </row>
    <row r="194" customFormat="false" ht="15" hidden="false" customHeight="false" outlineLevel="0" collapsed="false">
      <c r="C194" s="41"/>
      <c r="E194" s="41"/>
      <c r="F194" s="41"/>
    </row>
    <row r="195" customFormat="false" ht="15" hidden="false" customHeight="false" outlineLevel="0" collapsed="false">
      <c r="C195" s="41"/>
      <c r="E195" s="41"/>
      <c r="F195" s="41"/>
    </row>
    <row r="196" customFormat="false" ht="15" hidden="false" customHeight="false" outlineLevel="0" collapsed="false">
      <c r="C196" s="41"/>
      <c r="E196" s="41"/>
      <c r="F196" s="41"/>
    </row>
    <row r="197" customFormat="false" ht="15" hidden="false" customHeight="false" outlineLevel="0" collapsed="false">
      <c r="C197" s="41"/>
      <c r="E197" s="41"/>
      <c r="F197" s="41"/>
    </row>
    <row r="198" customFormat="false" ht="15" hidden="false" customHeight="false" outlineLevel="0" collapsed="false">
      <c r="C198" s="41"/>
      <c r="E198" s="41"/>
      <c r="F198" s="41"/>
    </row>
    <row r="199" customFormat="false" ht="15" hidden="false" customHeight="false" outlineLevel="0" collapsed="false">
      <c r="C199" s="41"/>
      <c r="E199" s="41"/>
      <c r="F199" s="41"/>
    </row>
    <row r="200" customFormat="false" ht="15" hidden="false" customHeight="false" outlineLevel="0" collapsed="false">
      <c r="C200" s="41"/>
      <c r="E200" s="41"/>
      <c r="F200" s="41"/>
    </row>
    <row r="201" customFormat="false" ht="15" hidden="false" customHeight="false" outlineLevel="0" collapsed="false">
      <c r="C201" s="41"/>
      <c r="E201" s="41"/>
      <c r="F201" s="41"/>
    </row>
    <row r="202" customFormat="false" ht="15" hidden="false" customHeight="false" outlineLevel="0" collapsed="false">
      <c r="C202" s="41"/>
      <c r="E202" s="41"/>
      <c r="F202" s="41"/>
    </row>
    <row r="203" customFormat="false" ht="15" hidden="false" customHeight="false" outlineLevel="0" collapsed="false">
      <c r="C203" s="41"/>
      <c r="E203" s="41"/>
      <c r="F203" s="41"/>
    </row>
    <row r="204" customFormat="false" ht="15" hidden="false" customHeight="false" outlineLevel="0" collapsed="false">
      <c r="C204" s="41"/>
      <c r="E204" s="41"/>
      <c r="F204" s="41"/>
    </row>
    <row r="205" customFormat="false" ht="15" hidden="false" customHeight="false" outlineLevel="0" collapsed="false">
      <c r="C205" s="41"/>
      <c r="E205" s="41"/>
      <c r="F205" s="41"/>
    </row>
    <row r="206" customFormat="false" ht="15" hidden="false" customHeight="false" outlineLevel="0" collapsed="false">
      <c r="C206" s="41"/>
      <c r="E206" s="41"/>
      <c r="F206" s="41"/>
    </row>
    <row r="207" customFormat="false" ht="15" hidden="false" customHeight="false" outlineLevel="0" collapsed="false">
      <c r="C207" s="41"/>
      <c r="E207" s="41"/>
      <c r="F207" s="41"/>
    </row>
    <row r="208" customFormat="false" ht="15" hidden="false" customHeight="false" outlineLevel="0" collapsed="false">
      <c r="C208" s="41"/>
      <c r="E208" s="41"/>
      <c r="F208" s="41"/>
    </row>
    <row r="209" customFormat="false" ht="15" hidden="false" customHeight="false" outlineLevel="0" collapsed="false">
      <c r="C209" s="41"/>
      <c r="E209" s="41"/>
      <c r="F209" s="41"/>
    </row>
    <row r="210" customFormat="false" ht="15" hidden="false" customHeight="false" outlineLevel="0" collapsed="false">
      <c r="C210" s="41"/>
      <c r="E210" s="41"/>
      <c r="F210" s="41"/>
    </row>
    <row r="211" customFormat="false" ht="15" hidden="false" customHeight="false" outlineLevel="0" collapsed="false">
      <c r="C211" s="41"/>
      <c r="E211" s="41"/>
      <c r="F211" s="41"/>
    </row>
    <row r="212" customFormat="false" ht="15" hidden="false" customHeight="false" outlineLevel="0" collapsed="false">
      <c r="C212" s="41"/>
      <c r="E212" s="41"/>
      <c r="F212" s="41"/>
    </row>
    <row r="213" customFormat="false" ht="15" hidden="false" customHeight="false" outlineLevel="0" collapsed="false">
      <c r="C213" s="41"/>
      <c r="E213" s="41"/>
      <c r="F213" s="41"/>
    </row>
    <row r="214" customFormat="false" ht="15" hidden="false" customHeight="false" outlineLevel="0" collapsed="false">
      <c r="C214" s="41"/>
      <c r="E214" s="41"/>
      <c r="F214" s="41"/>
    </row>
    <row r="215" customFormat="false" ht="15" hidden="false" customHeight="false" outlineLevel="0" collapsed="false">
      <c r="C215" s="41"/>
      <c r="E215" s="41"/>
      <c r="F215" s="41"/>
    </row>
    <row r="216" customFormat="false" ht="15" hidden="false" customHeight="false" outlineLevel="0" collapsed="false">
      <c r="C216" s="41"/>
      <c r="E216" s="41"/>
      <c r="F216" s="41"/>
    </row>
    <row r="217" customFormat="false" ht="15" hidden="false" customHeight="false" outlineLevel="0" collapsed="false">
      <c r="C217" s="41"/>
      <c r="E217" s="41"/>
      <c r="F217" s="41"/>
    </row>
    <row r="218" customFormat="false" ht="15" hidden="false" customHeight="false" outlineLevel="0" collapsed="false">
      <c r="C218" s="41"/>
      <c r="E218" s="41"/>
      <c r="F218" s="41"/>
    </row>
    <row r="219" customFormat="false" ht="15" hidden="false" customHeight="false" outlineLevel="0" collapsed="false">
      <c r="C219" s="41"/>
      <c r="E219" s="41"/>
      <c r="F219" s="41"/>
    </row>
    <row r="220" customFormat="false" ht="15" hidden="false" customHeight="false" outlineLevel="0" collapsed="false">
      <c r="C220" s="41"/>
      <c r="E220" s="41"/>
      <c r="F220" s="41"/>
    </row>
    <row r="221" customFormat="false" ht="15" hidden="false" customHeight="false" outlineLevel="0" collapsed="false">
      <c r="C221" s="41"/>
      <c r="E221" s="41"/>
      <c r="F221" s="41"/>
    </row>
    <row r="222" customFormat="false" ht="15" hidden="false" customHeight="false" outlineLevel="0" collapsed="false">
      <c r="C222" s="41"/>
      <c r="E222" s="41"/>
      <c r="F222" s="41"/>
    </row>
    <row r="223" customFormat="false" ht="15" hidden="false" customHeight="false" outlineLevel="0" collapsed="false">
      <c r="C223" s="41"/>
      <c r="E223" s="41"/>
      <c r="F223" s="41"/>
    </row>
    <row r="224" customFormat="false" ht="15" hidden="false" customHeight="false" outlineLevel="0" collapsed="false">
      <c r="C224" s="41"/>
      <c r="E224" s="41"/>
      <c r="F224" s="41"/>
    </row>
    <row r="225" customFormat="false" ht="15" hidden="false" customHeight="false" outlineLevel="0" collapsed="false">
      <c r="C225" s="41"/>
      <c r="E225" s="41"/>
      <c r="F225" s="41"/>
    </row>
    <row r="226" customFormat="false" ht="15" hidden="false" customHeight="false" outlineLevel="0" collapsed="false">
      <c r="C226" s="41"/>
      <c r="E226" s="41"/>
      <c r="F226" s="41"/>
    </row>
    <row r="227" customFormat="false" ht="15" hidden="false" customHeight="false" outlineLevel="0" collapsed="false">
      <c r="C227" s="41"/>
      <c r="E227" s="41"/>
      <c r="F227" s="41"/>
    </row>
    <row r="228" customFormat="false" ht="15" hidden="false" customHeight="false" outlineLevel="0" collapsed="false">
      <c r="C228" s="41"/>
      <c r="E228" s="41"/>
      <c r="F228" s="41"/>
    </row>
    <row r="229" customFormat="false" ht="15" hidden="false" customHeight="false" outlineLevel="0" collapsed="false">
      <c r="C229" s="41"/>
      <c r="E229" s="41"/>
      <c r="F229" s="41"/>
    </row>
    <row r="230" customFormat="false" ht="15" hidden="false" customHeight="false" outlineLevel="0" collapsed="false">
      <c r="C230" s="41"/>
      <c r="E230" s="41"/>
      <c r="F230" s="41"/>
    </row>
    <row r="231" customFormat="false" ht="15" hidden="false" customHeight="false" outlineLevel="0" collapsed="false">
      <c r="C231" s="41"/>
      <c r="E231" s="41"/>
      <c r="F231" s="41"/>
    </row>
    <row r="232" customFormat="false" ht="15" hidden="false" customHeight="false" outlineLevel="0" collapsed="false">
      <c r="C232" s="41"/>
      <c r="E232" s="41"/>
      <c r="F232" s="41"/>
    </row>
    <row r="233" customFormat="false" ht="15" hidden="false" customHeight="false" outlineLevel="0" collapsed="false">
      <c r="C233" s="41"/>
      <c r="E233" s="41"/>
      <c r="F233" s="41"/>
    </row>
    <row r="234" customFormat="false" ht="15" hidden="false" customHeight="false" outlineLevel="0" collapsed="false">
      <c r="C234" s="41"/>
      <c r="E234" s="41"/>
      <c r="F234" s="41"/>
    </row>
    <row r="235" customFormat="false" ht="15" hidden="false" customHeight="false" outlineLevel="0" collapsed="false">
      <c r="C235" s="41"/>
      <c r="E235" s="41"/>
      <c r="F235" s="41"/>
    </row>
    <row r="236" customFormat="false" ht="15" hidden="false" customHeight="false" outlineLevel="0" collapsed="false">
      <c r="C236" s="41"/>
      <c r="E236" s="41"/>
      <c r="F236" s="41"/>
    </row>
    <row r="237" customFormat="false" ht="15" hidden="false" customHeight="false" outlineLevel="0" collapsed="false">
      <c r="C237" s="41"/>
      <c r="E237" s="41"/>
      <c r="F237" s="41"/>
    </row>
    <row r="238" customFormat="false" ht="15" hidden="false" customHeight="false" outlineLevel="0" collapsed="false">
      <c r="C238" s="41"/>
      <c r="E238" s="41"/>
      <c r="F238" s="41"/>
    </row>
    <row r="239" customFormat="false" ht="15" hidden="false" customHeight="false" outlineLevel="0" collapsed="false">
      <c r="C239" s="41"/>
      <c r="E239" s="41"/>
      <c r="F239" s="41"/>
    </row>
    <row r="240" customFormat="false" ht="15" hidden="false" customHeight="false" outlineLevel="0" collapsed="false">
      <c r="C240" s="41"/>
      <c r="E240" s="41"/>
      <c r="F240" s="41"/>
    </row>
    <row r="241" customFormat="false" ht="15" hidden="false" customHeight="false" outlineLevel="0" collapsed="false">
      <c r="C241" s="41"/>
      <c r="E241" s="41"/>
      <c r="F241" s="41"/>
    </row>
    <row r="242" customFormat="false" ht="15" hidden="false" customHeight="false" outlineLevel="0" collapsed="false">
      <c r="C242" s="41"/>
      <c r="E242" s="41"/>
      <c r="F242" s="41"/>
    </row>
    <row r="243" customFormat="false" ht="15" hidden="false" customHeight="false" outlineLevel="0" collapsed="false">
      <c r="C243" s="41"/>
      <c r="E243" s="41"/>
      <c r="F243" s="41"/>
    </row>
    <row r="244" customFormat="false" ht="15" hidden="false" customHeight="false" outlineLevel="0" collapsed="false">
      <c r="C244" s="41"/>
      <c r="E244" s="41"/>
      <c r="F244" s="41"/>
    </row>
    <row r="245" customFormat="false" ht="15" hidden="false" customHeight="false" outlineLevel="0" collapsed="false">
      <c r="C245" s="41"/>
      <c r="E245" s="41"/>
      <c r="F245" s="41"/>
    </row>
    <row r="246" customFormat="false" ht="15" hidden="false" customHeight="false" outlineLevel="0" collapsed="false">
      <c r="C246" s="41"/>
      <c r="E246" s="41"/>
      <c r="F246" s="41"/>
    </row>
    <row r="247" customFormat="false" ht="15" hidden="false" customHeight="false" outlineLevel="0" collapsed="false">
      <c r="C247" s="41"/>
      <c r="E247" s="41"/>
      <c r="F247" s="41"/>
    </row>
    <row r="248" customFormat="false" ht="15" hidden="false" customHeight="false" outlineLevel="0" collapsed="false">
      <c r="C248" s="41"/>
      <c r="E248" s="41"/>
      <c r="F248" s="41"/>
    </row>
    <row r="249" customFormat="false" ht="15" hidden="false" customHeight="false" outlineLevel="0" collapsed="false">
      <c r="C249" s="41"/>
      <c r="E249" s="41"/>
      <c r="F249" s="41"/>
    </row>
    <row r="250" customFormat="false" ht="15" hidden="false" customHeight="false" outlineLevel="0" collapsed="false">
      <c r="C250" s="41"/>
      <c r="E250" s="41"/>
      <c r="F250" s="41"/>
    </row>
    <row r="251" customFormat="false" ht="15" hidden="false" customHeight="false" outlineLevel="0" collapsed="false">
      <c r="C251" s="41"/>
      <c r="E251" s="41"/>
      <c r="F251" s="41"/>
    </row>
    <row r="252" customFormat="false" ht="15" hidden="false" customHeight="false" outlineLevel="0" collapsed="false">
      <c r="C252" s="41"/>
      <c r="E252" s="41"/>
      <c r="F252" s="41"/>
    </row>
    <row r="253" customFormat="false" ht="15" hidden="false" customHeight="false" outlineLevel="0" collapsed="false">
      <c r="C253" s="41"/>
      <c r="E253" s="41"/>
      <c r="F253" s="41"/>
    </row>
    <row r="254" customFormat="false" ht="15" hidden="false" customHeight="false" outlineLevel="0" collapsed="false">
      <c r="C254" s="41"/>
      <c r="E254" s="41"/>
      <c r="F254" s="41"/>
    </row>
    <row r="255" customFormat="false" ht="15" hidden="false" customHeight="false" outlineLevel="0" collapsed="false">
      <c r="C255" s="41"/>
      <c r="E255" s="41"/>
      <c r="F255" s="41"/>
    </row>
    <row r="256" customFormat="false" ht="15" hidden="false" customHeight="false" outlineLevel="0" collapsed="false">
      <c r="C256" s="41"/>
      <c r="E256" s="41"/>
      <c r="F256" s="41"/>
    </row>
    <row r="257" customFormat="false" ht="15" hidden="false" customHeight="false" outlineLevel="0" collapsed="false">
      <c r="C257" s="41"/>
      <c r="E257" s="41"/>
      <c r="F257" s="41"/>
    </row>
    <row r="258" customFormat="false" ht="15" hidden="false" customHeight="false" outlineLevel="0" collapsed="false">
      <c r="C258" s="41"/>
      <c r="E258" s="41"/>
      <c r="F258" s="41"/>
    </row>
    <row r="259" customFormat="false" ht="15" hidden="false" customHeight="false" outlineLevel="0" collapsed="false">
      <c r="C259" s="41"/>
      <c r="E259" s="41"/>
      <c r="F259" s="41"/>
    </row>
    <row r="260" customFormat="false" ht="15" hidden="false" customHeight="false" outlineLevel="0" collapsed="false">
      <c r="C260" s="41"/>
      <c r="E260" s="41"/>
      <c r="F260" s="41"/>
    </row>
    <row r="261" customFormat="false" ht="15" hidden="false" customHeight="false" outlineLevel="0" collapsed="false">
      <c r="C261" s="41"/>
      <c r="E261" s="41"/>
      <c r="F261" s="41"/>
    </row>
    <row r="262" customFormat="false" ht="15" hidden="false" customHeight="false" outlineLevel="0" collapsed="false">
      <c r="C262" s="41"/>
      <c r="E262" s="41"/>
      <c r="F262" s="41"/>
    </row>
    <row r="263" customFormat="false" ht="15" hidden="false" customHeight="false" outlineLevel="0" collapsed="false">
      <c r="C263" s="41"/>
      <c r="E263" s="41"/>
      <c r="F263" s="41"/>
    </row>
    <row r="264" customFormat="false" ht="15" hidden="false" customHeight="false" outlineLevel="0" collapsed="false">
      <c r="C264" s="41"/>
      <c r="E264" s="41"/>
      <c r="F264" s="41"/>
    </row>
    <row r="265" customFormat="false" ht="15" hidden="false" customHeight="false" outlineLevel="0" collapsed="false">
      <c r="C265" s="41"/>
      <c r="E265" s="41"/>
      <c r="F265" s="41"/>
    </row>
    <row r="266" customFormat="false" ht="15" hidden="false" customHeight="false" outlineLevel="0" collapsed="false">
      <c r="C266" s="41"/>
      <c r="E266" s="41"/>
      <c r="F266" s="41"/>
    </row>
    <row r="267" customFormat="false" ht="15" hidden="false" customHeight="false" outlineLevel="0" collapsed="false">
      <c r="C267" s="41"/>
      <c r="E267" s="41"/>
      <c r="F267" s="41"/>
    </row>
    <row r="268" customFormat="false" ht="15" hidden="false" customHeight="false" outlineLevel="0" collapsed="false">
      <c r="C268" s="41"/>
      <c r="E268" s="41"/>
      <c r="F268" s="41"/>
    </row>
    <row r="269" customFormat="false" ht="15" hidden="false" customHeight="false" outlineLevel="0" collapsed="false">
      <c r="C269" s="41"/>
      <c r="E269" s="41"/>
      <c r="F269" s="41"/>
    </row>
    <row r="270" customFormat="false" ht="15" hidden="false" customHeight="false" outlineLevel="0" collapsed="false">
      <c r="C270" s="41"/>
      <c r="E270" s="41"/>
      <c r="F270" s="41"/>
    </row>
    <row r="271" customFormat="false" ht="15" hidden="false" customHeight="false" outlineLevel="0" collapsed="false">
      <c r="C271" s="41"/>
      <c r="E271" s="41"/>
      <c r="F271" s="41"/>
    </row>
    <row r="272" customFormat="false" ht="15" hidden="false" customHeight="false" outlineLevel="0" collapsed="false">
      <c r="C272" s="41"/>
      <c r="E272" s="41"/>
      <c r="F272" s="41"/>
    </row>
    <row r="273" customFormat="false" ht="15" hidden="false" customHeight="false" outlineLevel="0" collapsed="false">
      <c r="C273" s="41"/>
      <c r="E273" s="41"/>
      <c r="F273" s="41"/>
    </row>
    <row r="274" customFormat="false" ht="15" hidden="false" customHeight="false" outlineLevel="0" collapsed="false">
      <c r="C274" s="41"/>
      <c r="E274" s="41"/>
      <c r="F274" s="41"/>
    </row>
    <row r="275" customFormat="false" ht="15" hidden="false" customHeight="false" outlineLevel="0" collapsed="false">
      <c r="C275" s="41"/>
      <c r="E275" s="41"/>
      <c r="F275" s="41"/>
    </row>
    <row r="276" customFormat="false" ht="15" hidden="false" customHeight="false" outlineLevel="0" collapsed="false">
      <c r="C276" s="41"/>
      <c r="E276" s="41"/>
      <c r="F276" s="41"/>
    </row>
    <row r="277" customFormat="false" ht="15" hidden="false" customHeight="false" outlineLevel="0" collapsed="false">
      <c r="C277" s="41"/>
      <c r="E277" s="41"/>
      <c r="F277" s="41"/>
    </row>
    <row r="278" customFormat="false" ht="15" hidden="false" customHeight="false" outlineLevel="0" collapsed="false">
      <c r="C278" s="41"/>
      <c r="E278" s="41"/>
      <c r="F278" s="41"/>
    </row>
    <row r="279" customFormat="false" ht="15" hidden="false" customHeight="false" outlineLevel="0" collapsed="false">
      <c r="C279" s="41"/>
      <c r="E279" s="41"/>
      <c r="F279" s="41"/>
    </row>
    <row r="280" customFormat="false" ht="15" hidden="false" customHeight="false" outlineLevel="0" collapsed="false">
      <c r="C280" s="41"/>
      <c r="E280" s="41"/>
      <c r="F280" s="41"/>
    </row>
    <row r="281" customFormat="false" ht="15" hidden="false" customHeight="false" outlineLevel="0" collapsed="false">
      <c r="C281" s="41"/>
      <c r="E281" s="41"/>
      <c r="F281" s="41"/>
    </row>
    <row r="282" customFormat="false" ht="15" hidden="false" customHeight="false" outlineLevel="0" collapsed="false">
      <c r="C282" s="41"/>
      <c r="E282" s="41"/>
      <c r="F282" s="41"/>
    </row>
    <row r="283" customFormat="false" ht="15" hidden="false" customHeight="false" outlineLevel="0" collapsed="false">
      <c r="C283" s="41"/>
      <c r="E283" s="41"/>
      <c r="F283" s="41"/>
    </row>
    <row r="284" customFormat="false" ht="15" hidden="false" customHeight="false" outlineLevel="0" collapsed="false">
      <c r="C284" s="41"/>
      <c r="E284" s="41"/>
      <c r="F284" s="41"/>
    </row>
    <row r="285" customFormat="false" ht="15" hidden="false" customHeight="false" outlineLevel="0" collapsed="false">
      <c r="C285" s="41"/>
      <c r="E285" s="41"/>
      <c r="F285" s="41"/>
    </row>
    <row r="286" customFormat="false" ht="15" hidden="false" customHeight="false" outlineLevel="0" collapsed="false">
      <c r="C286" s="41"/>
      <c r="E286" s="41"/>
      <c r="F286" s="41"/>
    </row>
    <row r="287" customFormat="false" ht="15" hidden="false" customHeight="false" outlineLevel="0" collapsed="false">
      <c r="C287" s="41"/>
      <c r="E287" s="41"/>
      <c r="F287" s="41"/>
    </row>
    <row r="288" customFormat="false" ht="15" hidden="false" customHeight="false" outlineLevel="0" collapsed="false">
      <c r="C288" s="41"/>
      <c r="E288" s="41"/>
      <c r="F288" s="41"/>
    </row>
    <row r="289" customFormat="false" ht="15" hidden="false" customHeight="false" outlineLevel="0" collapsed="false">
      <c r="C289" s="41"/>
      <c r="E289" s="41"/>
      <c r="F289" s="41"/>
    </row>
    <row r="290" customFormat="false" ht="15" hidden="false" customHeight="false" outlineLevel="0" collapsed="false">
      <c r="C290" s="41"/>
      <c r="E290" s="41"/>
      <c r="F290" s="41"/>
    </row>
    <row r="291" customFormat="false" ht="15" hidden="false" customHeight="false" outlineLevel="0" collapsed="false">
      <c r="C291" s="41"/>
      <c r="E291" s="41"/>
      <c r="F291" s="41"/>
    </row>
    <row r="292" customFormat="false" ht="15" hidden="false" customHeight="false" outlineLevel="0" collapsed="false">
      <c r="C292" s="41"/>
      <c r="E292" s="41"/>
      <c r="F292" s="41"/>
    </row>
    <row r="293" customFormat="false" ht="15" hidden="false" customHeight="false" outlineLevel="0" collapsed="false">
      <c r="C293" s="41"/>
      <c r="E293" s="41"/>
      <c r="F293" s="41"/>
    </row>
    <row r="294" customFormat="false" ht="15" hidden="false" customHeight="false" outlineLevel="0" collapsed="false">
      <c r="C294" s="41"/>
      <c r="E294" s="41"/>
      <c r="F294" s="41"/>
    </row>
    <row r="295" customFormat="false" ht="15" hidden="false" customHeight="false" outlineLevel="0" collapsed="false">
      <c r="C295" s="41"/>
      <c r="E295" s="41"/>
      <c r="F295" s="41"/>
    </row>
    <row r="296" customFormat="false" ht="15" hidden="false" customHeight="false" outlineLevel="0" collapsed="false">
      <c r="C296" s="41"/>
      <c r="E296" s="41"/>
      <c r="F296" s="41"/>
    </row>
    <row r="297" customFormat="false" ht="15" hidden="false" customHeight="false" outlineLevel="0" collapsed="false">
      <c r="C297" s="41"/>
      <c r="E297" s="41"/>
      <c r="F297" s="41"/>
    </row>
    <row r="298" customFormat="false" ht="15" hidden="false" customHeight="false" outlineLevel="0" collapsed="false">
      <c r="C298" s="41"/>
      <c r="E298" s="41"/>
      <c r="F298" s="41"/>
    </row>
    <row r="299" customFormat="false" ht="15" hidden="false" customHeight="false" outlineLevel="0" collapsed="false">
      <c r="C299" s="41"/>
      <c r="E299" s="41"/>
      <c r="F299" s="41"/>
    </row>
    <row r="300" customFormat="false" ht="15" hidden="false" customHeight="false" outlineLevel="0" collapsed="false">
      <c r="C300" s="41"/>
      <c r="E300" s="41"/>
      <c r="F300" s="41"/>
    </row>
    <row r="301" customFormat="false" ht="15" hidden="false" customHeight="false" outlineLevel="0" collapsed="false">
      <c r="C301" s="41"/>
      <c r="E301" s="41"/>
      <c r="F301" s="41"/>
    </row>
    <row r="302" customFormat="false" ht="15" hidden="false" customHeight="false" outlineLevel="0" collapsed="false">
      <c r="C302" s="41"/>
      <c r="E302" s="41"/>
      <c r="F302" s="41"/>
    </row>
    <row r="303" customFormat="false" ht="15" hidden="false" customHeight="false" outlineLevel="0" collapsed="false">
      <c r="C303" s="41"/>
      <c r="E303" s="41"/>
      <c r="F303" s="41"/>
    </row>
    <row r="304" customFormat="false" ht="15" hidden="false" customHeight="false" outlineLevel="0" collapsed="false">
      <c r="C304" s="41"/>
      <c r="E304" s="41"/>
      <c r="F304" s="41"/>
    </row>
    <row r="305" customFormat="false" ht="15" hidden="false" customHeight="false" outlineLevel="0" collapsed="false">
      <c r="C305" s="41"/>
      <c r="E305" s="41"/>
      <c r="F305" s="41"/>
    </row>
    <row r="306" customFormat="false" ht="15" hidden="false" customHeight="false" outlineLevel="0" collapsed="false">
      <c r="C306" s="41"/>
      <c r="E306" s="41"/>
      <c r="F306" s="41"/>
    </row>
    <row r="307" customFormat="false" ht="15" hidden="false" customHeight="false" outlineLevel="0" collapsed="false">
      <c r="C307" s="41"/>
      <c r="E307" s="41"/>
      <c r="F307" s="41"/>
    </row>
    <row r="308" customFormat="false" ht="15" hidden="false" customHeight="false" outlineLevel="0" collapsed="false">
      <c r="C308" s="41"/>
      <c r="E308" s="41"/>
      <c r="F308" s="41"/>
    </row>
    <row r="309" customFormat="false" ht="15" hidden="false" customHeight="false" outlineLevel="0" collapsed="false">
      <c r="C309" s="41"/>
      <c r="E309" s="41"/>
      <c r="F309" s="41"/>
    </row>
    <row r="310" customFormat="false" ht="15" hidden="false" customHeight="false" outlineLevel="0" collapsed="false">
      <c r="C310" s="41"/>
      <c r="E310" s="41"/>
      <c r="F310" s="41"/>
    </row>
    <row r="311" customFormat="false" ht="15" hidden="false" customHeight="false" outlineLevel="0" collapsed="false">
      <c r="C311" s="41"/>
      <c r="E311" s="41"/>
      <c r="F311" s="41"/>
    </row>
    <row r="312" customFormat="false" ht="15" hidden="false" customHeight="false" outlineLevel="0" collapsed="false">
      <c r="C312" s="41"/>
      <c r="E312" s="41"/>
      <c r="F312" s="41"/>
    </row>
    <row r="313" customFormat="false" ht="15" hidden="false" customHeight="false" outlineLevel="0" collapsed="false">
      <c r="C313" s="41"/>
      <c r="E313" s="41"/>
      <c r="F313" s="41"/>
    </row>
    <row r="314" customFormat="false" ht="15" hidden="false" customHeight="false" outlineLevel="0" collapsed="false">
      <c r="C314" s="41"/>
      <c r="E314" s="41"/>
      <c r="F314" s="41"/>
    </row>
    <row r="315" customFormat="false" ht="15" hidden="false" customHeight="false" outlineLevel="0" collapsed="false">
      <c r="C315" s="41"/>
      <c r="E315" s="41"/>
      <c r="F315" s="41"/>
    </row>
    <row r="316" customFormat="false" ht="15" hidden="false" customHeight="false" outlineLevel="0" collapsed="false">
      <c r="C316" s="41"/>
      <c r="E316" s="41"/>
      <c r="F316" s="41"/>
    </row>
    <row r="317" customFormat="false" ht="15" hidden="false" customHeight="false" outlineLevel="0" collapsed="false">
      <c r="C317" s="41"/>
      <c r="E317" s="41"/>
      <c r="F317" s="41"/>
    </row>
    <row r="318" customFormat="false" ht="15" hidden="false" customHeight="false" outlineLevel="0" collapsed="false">
      <c r="C318" s="41"/>
      <c r="E318" s="41"/>
      <c r="F318" s="41"/>
    </row>
    <row r="319" customFormat="false" ht="15" hidden="false" customHeight="false" outlineLevel="0" collapsed="false">
      <c r="C319" s="41"/>
      <c r="E319" s="41"/>
      <c r="F319" s="41"/>
    </row>
    <row r="320" customFormat="false" ht="15" hidden="false" customHeight="false" outlineLevel="0" collapsed="false">
      <c r="C320" s="41"/>
      <c r="E320" s="41"/>
      <c r="F320" s="41"/>
    </row>
    <row r="321" customFormat="false" ht="15" hidden="false" customHeight="false" outlineLevel="0" collapsed="false">
      <c r="C321" s="41"/>
      <c r="E321" s="41"/>
      <c r="F321" s="41"/>
    </row>
    <row r="322" customFormat="false" ht="15" hidden="false" customHeight="false" outlineLevel="0" collapsed="false">
      <c r="C322" s="41"/>
      <c r="E322" s="41"/>
      <c r="F322" s="41"/>
    </row>
    <row r="323" customFormat="false" ht="15" hidden="false" customHeight="false" outlineLevel="0" collapsed="false">
      <c r="C323" s="41"/>
      <c r="E323" s="41"/>
      <c r="F323" s="41"/>
    </row>
    <row r="324" customFormat="false" ht="15" hidden="false" customHeight="false" outlineLevel="0" collapsed="false">
      <c r="C324" s="41"/>
      <c r="E324" s="41"/>
      <c r="F324" s="41"/>
    </row>
    <row r="325" customFormat="false" ht="15" hidden="false" customHeight="false" outlineLevel="0" collapsed="false">
      <c r="C325" s="41"/>
      <c r="E325" s="41"/>
      <c r="F325" s="41"/>
    </row>
    <row r="326" customFormat="false" ht="15" hidden="false" customHeight="false" outlineLevel="0" collapsed="false">
      <c r="C326" s="41"/>
      <c r="E326" s="41"/>
      <c r="F326" s="41"/>
    </row>
    <row r="327" customFormat="false" ht="15" hidden="false" customHeight="false" outlineLevel="0" collapsed="false">
      <c r="C327" s="41"/>
      <c r="E327" s="41"/>
      <c r="F327" s="41"/>
    </row>
    <row r="328" customFormat="false" ht="15" hidden="false" customHeight="false" outlineLevel="0" collapsed="false">
      <c r="C328" s="41"/>
      <c r="E328" s="41"/>
      <c r="F328" s="41"/>
    </row>
    <row r="329" customFormat="false" ht="15" hidden="false" customHeight="false" outlineLevel="0" collapsed="false">
      <c r="C329" s="41"/>
      <c r="E329" s="41"/>
      <c r="F329" s="41"/>
    </row>
    <row r="330" customFormat="false" ht="15" hidden="false" customHeight="false" outlineLevel="0" collapsed="false">
      <c r="C330" s="41"/>
      <c r="E330" s="41"/>
      <c r="F330" s="41"/>
    </row>
    <row r="331" customFormat="false" ht="15" hidden="false" customHeight="false" outlineLevel="0" collapsed="false">
      <c r="C331" s="41"/>
      <c r="E331" s="41"/>
      <c r="F331" s="41"/>
    </row>
    <row r="332" customFormat="false" ht="15" hidden="false" customHeight="false" outlineLevel="0" collapsed="false">
      <c r="C332" s="41"/>
      <c r="E332" s="41"/>
      <c r="F332" s="41"/>
    </row>
    <row r="333" customFormat="false" ht="15" hidden="false" customHeight="false" outlineLevel="0" collapsed="false">
      <c r="C333" s="41"/>
      <c r="E333" s="41"/>
      <c r="F333" s="41"/>
    </row>
    <row r="334" customFormat="false" ht="15" hidden="false" customHeight="false" outlineLevel="0" collapsed="false">
      <c r="C334" s="41"/>
      <c r="E334" s="41"/>
      <c r="F334" s="41"/>
    </row>
    <row r="335" customFormat="false" ht="15" hidden="false" customHeight="false" outlineLevel="0" collapsed="false">
      <c r="C335" s="41"/>
      <c r="E335" s="41"/>
      <c r="F335" s="41"/>
    </row>
    <row r="336" customFormat="false" ht="15" hidden="false" customHeight="false" outlineLevel="0" collapsed="false">
      <c r="C336" s="41"/>
      <c r="E336" s="41"/>
      <c r="F336" s="41"/>
    </row>
    <row r="337" customFormat="false" ht="15" hidden="false" customHeight="false" outlineLevel="0" collapsed="false">
      <c r="C337" s="41"/>
      <c r="E337" s="41"/>
      <c r="F337" s="41"/>
    </row>
    <row r="338" customFormat="false" ht="15" hidden="false" customHeight="false" outlineLevel="0" collapsed="false">
      <c r="C338" s="41"/>
      <c r="E338" s="41"/>
      <c r="F338" s="41"/>
    </row>
    <row r="339" customFormat="false" ht="15" hidden="false" customHeight="false" outlineLevel="0" collapsed="false">
      <c r="C339" s="41"/>
      <c r="E339" s="41"/>
      <c r="F339" s="41"/>
    </row>
    <row r="340" customFormat="false" ht="15" hidden="false" customHeight="false" outlineLevel="0" collapsed="false">
      <c r="C340" s="41"/>
      <c r="E340" s="41"/>
      <c r="F340" s="41"/>
    </row>
    <row r="341" customFormat="false" ht="15" hidden="false" customHeight="false" outlineLevel="0" collapsed="false">
      <c r="C341" s="41"/>
      <c r="E341" s="41"/>
      <c r="F341" s="41"/>
    </row>
    <row r="342" customFormat="false" ht="15" hidden="false" customHeight="false" outlineLevel="0" collapsed="false">
      <c r="C342" s="41"/>
      <c r="E342" s="41"/>
      <c r="F342" s="41"/>
    </row>
    <row r="343" customFormat="false" ht="15" hidden="false" customHeight="false" outlineLevel="0" collapsed="false">
      <c r="C343" s="41"/>
      <c r="E343" s="41"/>
      <c r="F343" s="41"/>
    </row>
    <row r="344" customFormat="false" ht="15" hidden="false" customHeight="false" outlineLevel="0" collapsed="false">
      <c r="C344" s="41"/>
      <c r="E344" s="41"/>
      <c r="F344" s="41"/>
    </row>
    <row r="345" customFormat="false" ht="15" hidden="false" customHeight="false" outlineLevel="0" collapsed="false">
      <c r="C345" s="41"/>
      <c r="E345" s="41"/>
      <c r="F345" s="41"/>
    </row>
    <row r="346" customFormat="false" ht="15" hidden="false" customHeight="false" outlineLevel="0" collapsed="false">
      <c r="C346" s="41"/>
      <c r="E346" s="41"/>
      <c r="F346" s="41"/>
    </row>
    <row r="347" customFormat="false" ht="15" hidden="false" customHeight="false" outlineLevel="0" collapsed="false">
      <c r="C347" s="41"/>
      <c r="E347" s="41"/>
      <c r="F347" s="41"/>
    </row>
    <row r="348" customFormat="false" ht="15" hidden="false" customHeight="false" outlineLevel="0" collapsed="false">
      <c r="C348" s="41"/>
      <c r="E348" s="41"/>
      <c r="F348" s="41"/>
    </row>
    <row r="349" customFormat="false" ht="15" hidden="false" customHeight="false" outlineLevel="0" collapsed="false">
      <c r="C349" s="41"/>
      <c r="E349" s="41"/>
      <c r="F349" s="41"/>
    </row>
    <row r="350" customFormat="false" ht="15" hidden="false" customHeight="false" outlineLevel="0" collapsed="false">
      <c r="C350" s="41"/>
      <c r="E350" s="41"/>
      <c r="F350" s="41"/>
    </row>
    <row r="351" customFormat="false" ht="15" hidden="false" customHeight="false" outlineLevel="0" collapsed="false">
      <c r="C351" s="41"/>
      <c r="E351" s="41"/>
      <c r="F351" s="41"/>
    </row>
    <row r="352" customFormat="false" ht="15" hidden="false" customHeight="false" outlineLevel="0" collapsed="false">
      <c r="C352" s="41"/>
      <c r="E352" s="41"/>
      <c r="F352" s="41"/>
    </row>
    <row r="353" customFormat="false" ht="15" hidden="false" customHeight="false" outlineLevel="0" collapsed="false">
      <c r="C353" s="41"/>
      <c r="E353" s="41"/>
      <c r="F353" s="41"/>
    </row>
    <row r="354" customFormat="false" ht="15" hidden="false" customHeight="false" outlineLevel="0" collapsed="false">
      <c r="C354" s="41"/>
      <c r="E354" s="41"/>
      <c r="F354" s="41"/>
    </row>
    <row r="355" customFormat="false" ht="15" hidden="false" customHeight="false" outlineLevel="0" collapsed="false">
      <c r="C355" s="41"/>
      <c r="E355" s="41"/>
      <c r="F355" s="41"/>
    </row>
    <row r="356" customFormat="false" ht="15" hidden="false" customHeight="false" outlineLevel="0" collapsed="false">
      <c r="C356" s="41"/>
      <c r="E356" s="41"/>
      <c r="F356" s="41"/>
    </row>
    <row r="357" customFormat="false" ht="15" hidden="false" customHeight="false" outlineLevel="0" collapsed="false">
      <c r="C357" s="41"/>
      <c r="E357" s="41"/>
      <c r="F357" s="41"/>
    </row>
    <row r="358" customFormat="false" ht="15" hidden="false" customHeight="false" outlineLevel="0" collapsed="false">
      <c r="C358" s="41"/>
      <c r="E358" s="41"/>
      <c r="F358" s="41"/>
    </row>
    <row r="359" customFormat="false" ht="15" hidden="false" customHeight="false" outlineLevel="0" collapsed="false">
      <c r="C359" s="41"/>
      <c r="E359" s="41"/>
      <c r="F359" s="41"/>
    </row>
    <row r="360" customFormat="false" ht="15" hidden="false" customHeight="false" outlineLevel="0" collapsed="false">
      <c r="C360" s="41"/>
      <c r="E360" s="41"/>
      <c r="F360" s="41"/>
    </row>
    <row r="361" customFormat="false" ht="15" hidden="false" customHeight="false" outlineLevel="0" collapsed="false">
      <c r="C361" s="41"/>
      <c r="E361" s="41"/>
      <c r="F361" s="41"/>
    </row>
    <row r="362" customFormat="false" ht="15" hidden="false" customHeight="false" outlineLevel="0" collapsed="false">
      <c r="C362" s="41"/>
      <c r="E362" s="41"/>
      <c r="F362" s="41"/>
    </row>
    <row r="363" customFormat="false" ht="15" hidden="false" customHeight="false" outlineLevel="0" collapsed="false">
      <c r="C363" s="41"/>
      <c r="E363" s="41"/>
      <c r="F363" s="41"/>
    </row>
    <row r="364" customFormat="false" ht="15" hidden="false" customHeight="false" outlineLevel="0" collapsed="false">
      <c r="C364" s="41"/>
      <c r="E364" s="41"/>
      <c r="F364" s="41"/>
    </row>
    <row r="365" customFormat="false" ht="15" hidden="false" customHeight="false" outlineLevel="0" collapsed="false">
      <c r="C365" s="41"/>
      <c r="E365" s="41"/>
      <c r="F365" s="41"/>
    </row>
    <row r="366" customFormat="false" ht="15" hidden="false" customHeight="false" outlineLevel="0" collapsed="false">
      <c r="C366" s="41"/>
      <c r="E366" s="41"/>
      <c r="F366" s="41"/>
    </row>
    <row r="367" customFormat="false" ht="15" hidden="false" customHeight="false" outlineLevel="0" collapsed="false">
      <c r="C367" s="41"/>
      <c r="E367" s="41"/>
      <c r="F367" s="41"/>
    </row>
    <row r="368" customFormat="false" ht="15" hidden="false" customHeight="false" outlineLevel="0" collapsed="false">
      <c r="C368" s="41"/>
      <c r="E368" s="41"/>
      <c r="F368" s="41"/>
    </row>
    <row r="369" customFormat="false" ht="15" hidden="false" customHeight="false" outlineLevel="0" collapsed="false">
      <c r="C369" s="41"/>
      <c r="E369" s="41"/>
      <c r="F369" s="41"/>
    </row>
    <row r="370" customFormat="false" ht="15" hidden="false" customHeight="false" outlineLevel="0" collapsed="false">
      <c r="C370" s="41"/>
      <c r="E370" s="41"/>
      <c r="F370" s="41"/>
    </row>
    <row r="371" customFormat="false" ht="15" hidden="false" customHeight="false" outlineLevel="0" collapsed="false">
      <c r="C371" s="41"/>
      <c r="E371" s="41"/>
      <c r="F371" s="41"/>
    </row>
    <row r="372" customFormat="false" ht="15" hidden="false" customHeight="false" outlineLevel="0" collapsed="false">
      <c r="C372" s="41"/>
      <c r="E372" s="41"/>
      <c r="F372" s="41"/>
    </row>
    <row r="373" customFormat="false" ht="15" hidden="false" customHeight="false" outlineLevel="0" collapsed="false">
      <c r="C373" s="41"/>
      <c r="E373" s="41"/>
      <c r="F373" s="41"/>
    </row>
    <row r="374" customFormat="false" ht="15" hidden="false" customHeight="false" outlineLevel="0" collapsed="false">
      <c r="C374" s="41"/>
      <c r="E374" s="41"/>
      <c r="F374" s="41"/>
    </row>
    <row r="375" customFormat="false" ht="15" hidden="false" customHeight="false" outlineLevel="0" collapsed="false">
      <c r="C375" s="41"/>
      <c r="E375" s="41"/>
      <c r="F375" s="41"/>
    </row>
    <row r="376" customFormat="false" ht="15" hidden="false" customHeight="false" outlineLevel="0" collapsed="false">
      <c r="C376" s="41"/>
      <c r="E376" s="41"/>
      <c r="F376" s="41"/>
    </row>
    <row r="377" customFormat="false" ht="15" hidden="false" customHeight="false" outlineLevel="0" collapsed="false">
      <c r="C377" s="41"/>
      <c r="E377" s="41"/>
      <c r="F377" s="41"/>
    </row>
    <row r="378" customFormat="false" ht="15" hidden="false" customHeight="false" outlineLevel="0" collapsed="false">
      <c r="C378" s="41"/>
      <c r="E378" s="41"/>
      <c r="F378" s="41"/>
    </row>
    <row r="379" customFormat="false" ht="15" hidden="false" customHeight="false" outlineLevel="0" collapsed="false">
      <c r="C379" s="41"/>
      <c r="E379" s="41"/>
      <c r="F379" s="41"/>
    </row>
    <row r="380" customFormat="false" ht="15" hidden="false" customHeight="false" outlineLevel="0" collapsed="false">
      <c r="C380" s="41"/>
      <c r="E380" s="41"/>
      <c r="F380" s="41"/>
    </row>
    <row r="381" customFormat="false" ht="15" hidden="false" customHeight="false" outlineLevel="0" collapsed="false">
      <c r="C381" s="41"/>
      <c r="E381" s="41"/>
      <c r="F381" s="41"/>
    </row>
    <row r="382" customFormat="false" ht="15" hidden="false" customHeight="false" outlineLevel="0" collapsed="false">
      <c r="C382" s="41"/>
      <c r="E382" s="41"/>
      <c r="F382" s="41"/>
    </row>
    <row r="383" customFormat="false" ht="15" hidden="false" customHeight="false" outlineLevel="0" collapsed="false">
      <c r="C383" s="41"/>
      <c r="E383" s="41"/>
      <c r="F383" s="41"/>
    </row>
    <row r="384" customFormat="false" ht="15" hidden="false" customHeight="false" outlineLevel="0" collapsed="false">
      <c r="C384" s="41"/>
      <c r="E384" s="41"/>
      <c r="F384" s="41"/>
    </row>
    <row r="385" customFormat="false" ht="15" hidden="false" customHeight="false" outlineLevel="0" collapsed="false">
      <c r="C385" s="41"/>
      <c r="E385" s="41"/>
      <c r="F385" s="41"/>
    </row>
    <row r="386" customFormat="false" ht="15" hidden="false" customHeight="false" outlineLevel="0" collapsed="false">
      <c r="C386" s="41"/>
      <c r="E386" s="41"/>
      <c r="F386" s="41"/>
    </row>
    <row r="387" customFormat="false" ht="15" hidden="false" customHeight="false" outlineLevel="0" collapsed="false">
      <c r="C387" s="41"/>
      <c r="E387" s="41"/>
      <c r="F387" s="41"/>
    </row>
    <row r="388" customFormat="false" ht="15" hidden="false" customHeight="false" outlineLevel="0" collapsed="false">
      <c r="C388" s="41"/>
      <c r="E388" s="41"/>
      <c r="F388" s="41"/>
    </row>
    <row r="389" customFormat="false" ht="15" hidden="false" customHeight="false" outlineLevel="0" collapsed="false">
      <c r="C389" s="41"/>
      <c r="E389" s="41"/>
      <c r="F389" s="41"/>
    </row>
    <row r="390" customFormat="false" ht="15" hidden="false" customHeight="false" outlineLevel="0" collapsed="false">
      <c r="C390" s="41"/>
      <c r="E390" s="41"/>
      <c r="F390" s="41"/>
    </row>
    <row r="391" customFormat="false" ht="15" hidden="false" customHeight="false" outlineLevel="0" collapsed="false">
      <c r="C391" s="41"/>
      <c r="E391" s="41"/>
      <c r="F391" s="41"/>
    </row>
    <row r="392" customFormat="false" ht="15" hidden="false" customHeight="false" outlineLevel="0" collapsed="false">
      <c r="C392" s="41"/>
      <c r="E392" s="41"/>
      <c r="F392" s="41"/>
    </row>
    <row r="393" customFormat="false" ht="15" hidden="false" customHeight="false" outlineLevel="0" collapsed="false">
      <c r="C393" s="41"/>
      <c r="E393" s="41"/>
      <c r="F393" s="41"/>
    </row>
    <row r="394" customFormat="false" ht="15" hidden="false" customHeight="false" outlineLevel="0" collapsed="false">
      <c r="C394" s="41"/>
      <c r="E394" s="41"/>
      <c r="F394" s="41"/>
    </row>
    <row r="395" customFormat="false" ht="15" hidden="false" customHeight="false" outlineLevel="0" collapsed="false">
      <c r="C395" s="41"/>
      <c r="E395" s="41"/>
      <c r="F395" s="41"/>
    </row>
    <row r="396" customFormat="false" ht="15" hidden="false" customHeight="false" outlineLevel="0" collapsed="false">
      <c r="C396" s="41"/>
      <c r="E396" s="41"/>
      <c r="F396" s="41"/>
    </row>
    <row r="397" customFormat="false" ht="15" hidden="false" customHeight="false" outlineLevel="0" collapsed="false">
      <c r="C397" s="41"/>
      <c r="E397" s="41"/>
      <c r="F397" s="41"/>
    </row>
    <row r="398" customFormat="false" ht="15" hidden="false" customHeight="false" outlineLevel="0" collapsed="false">
      <c r="C398" s="41"/>
      <c r="E398" s="41"/>
      <c r="F398" s="41"/>
    </row>
    <row r="399" customFormat="false" ht="15" hidden="false" customHeight="false" outlineLevel="0" collapsed="false">
      <c r="C399" s="41"/>
      <c r="E399" s="41"/>
      <c r="F399" s="41"/>
    </row>
    <row r="400" customFormat="false" ht="15" hidden="false" customHeight="false" outlineLevel="0" collapsed="false">
      <c r="C400" s="41"/>
      <c r="E400" s="41"/>
      <c r="F400" s="41"/>
    </row>
    <row r="401" customFormat="false" ht="15" hidden="false" customHeight="false" outlineLevel="0" collapsed="false">
      <c r="C401" s="41"/>
      <c r="E401" s="41"/>
      <c r="F401" s="41"/>
    </row>
    <row r="402" customFormat="false" ht="15" hidden="false" customHeight="false" outlineLevel="0" collapsed="false">
      <c r="C402" s="41"/>
      <c r="E402" s="41"/>
      <c r="F402" s="41"/>
    </row>
    <row r="403" customFormat="false" ht="15" hidden="false" customHeight="false" outlineLevel="0" collapsed="false">
      <c r="C403" s="41"/>
      <c r="E403" s="41"/>
      <c r="F403" s="41"/>
    </row>
    <row r="404" customFormat="false" ht="15" hidden="false" customHeight="false" outlineLevel="0" collapsed="false">
      <c r="C404" s="41"/>
      <c r="E404" s="41"/>
      <c r="F404" s="41"/>
    </row>
    <row r="405" customFormat="false" ht="15" hidden="false" customHeight="false" outlineLevel="0" collapsed="false">
      <c r="C405" s="41"/>
      <c r="E405" s="41"/>
      <c r="F405" s="41"/>
    </row>
    <row r="406" customFormat="false" ht="15" hidden="false" customHeight="false" outlineLevel="0" collapsed="false">
      <c r="C406" s="41"/>
      <c r="E406" s="41"/>
      <c r="F406" s="41"/>
    </row>
    <row r="407" customFormat="false" ht="15" hidden="false" customHeight="false" outlineLevel="0" collapsed="false">
      <c r="C407" s="41"/>
      <c r="E407" s="41"/>
      <c r="F407" s="41"/>
    </row>
    <row r="408" customFormat="false" ht="15" hidden="false" customHeight="false" outlineLevel="0" collapsed="false">
      <c r="C408" s="41"/>
      <c r="E408" s="41"/>
      <c r="F408" s="41"/>
    </row>
    <row r="409" customFormat="false" ht="15" hidden="false" customHeight="false" outlineLevel="0" collapsed="false">
      <c r="C409" s="41"/>
      <c r="E409" s="41"/>
      <c r="F409" s="41"/>
    </row>
    <row r="410" customFormat="false" ht="15" hidden="false" customHeight="false" outlineLevel="0" collapsed="false">
      <c r="C410" s="41"/>
      <c r="E410" s="41"/>
      <c r="F410" s="41"/>
    </row>
    <row r="411" customFormat="false" ht="15" hidden="false" customHeight="false" outlineLevel="0" collapsed="false">
      <c r="C411" s="41"/>
      <c r="E411" s="41"/>
      <c r="F411" s="41"/>
    </row>
    <row r="412" customFormat="false" ht="15" hidden="false" customHeight="false" outlineLevel="0" collapsed="false">
      <c r="C412" s="41"/>
      <c r="E412" s="41"/>
      <c r="F412" s="41"/>
    </row>
    <row r="413" customFormat="false" ht="15" hidden="false" customHeight="false" outlineLevel="0" collapsed="false">
      <c r="C413" s="41"/>
      <c r="E413" s="41"/>
      <c r="F413" s="41"/>
    </row>
    <row r="414" customFormat="false" ht="15" hidden="false" customHeight="false" outlineLevel="0" collapsed="false">
      <c r="C414" s="41"/>
      <c r="E414" s="41"/>
      <c r="F414" s="41"/>
    </row>
    <row r="415" customFormat="false" ht="15" hidden="false" customHeight="false" outlineLevel="0" collapsed="false">
      <c r="C415" s="41"/>
      <c r="E415" s="41"/>
      <c r="F415" s="41"/>
    </row>
    <row r="416" customFormat="false" ht="15" hidden="false" customHeight="false" outlineLevel="0" collapsed="false">
      <c r="C416" s="41"/>
      <c r="E416" s="41"/>
      <c r="F416" s="41"/>
    </row>
    <row r="417" customFormat="false" ht="15" hidden="false" customHeight="false" outlineLevel="0" collapsed="false">
      <c r="C417" s="41"/>
      <c r="E417" s="41"/>
      <c r="F417" s="41"/>
    </row>
    <row r="418" customFormat="false" ht="15" hidden="false" customHeight="false" outlineLevel="0" collapsed="false">
      <c r="C418" s="41"/>
      <c r="E418" s="41"/>
      <c r="F418" s="41"/>
    </row>
    <row r="419" customFormat="false" ht="15" hidden="false" customHeight="false" outlineLevel="0" collapsed="false">
      <c r="C419" s="41"/>
      <c r="E419" s="41"/>
      <c r="F419" s="41"/>
    </row>
    <row r="420" customFormat="false" ht="15" hidden="false" customHeight="false" outlineLevel="0" collapsed="false">
      <c r="C420" s="41"/>
      <c r="E420" s="41"/>
      <c r="F420" s="41"/>
    </row>
    <row r="421" customFormat="false" ht="15" hidden="false" customHeight="false" outlineLevel="0" collapsed="false">
      <c r="C421" s="41"/>
      <c r="E421" s="41"/>
      <c r="F421" s="41"/>
    </row>
    <row r="422" customFormat="false" ht="15" hidden="false" customHeight="false" outlineLevel="0" collapsed="false">
      <c r="C422" s="41"/>
      <c r="E422" s="41"/>
      <c r="F422" s="41"/>
    </row>
    <row r="423" customFormat="false" ht="15" hidden="false" customHeight="false" outlineLevel="0" collapsed="false">
      <c r="C423" s="41"/>
      <c r="E423" s="41"/>
      <c r="F423" s="41"/>
    </row>
    <row r="424" customFormat="false" ht="15" hidden="false" customHeight="false" outlineLevel="0" collapsed="false">
      <c r="C424" s="41"/>
      <c r="E424" s="41"/>
      <c r="F424" s="41"/>
    </row>
    <row r="425" customFormat="false" ht="15" hidden="false" customHeight="false" outlineLevel="0" collapsed="false">
      <c r="C425" s="41"/>
      <c r="E425" s="41"/>
      <c r="F425" s="41"/>
    </row>
    <row r="426" customFormat="false" ht="15" hidden="false" customHeight="false" outlineLevel="0" collapsed="false">
      <c r="C426" s="41"/>
      <c r="E426" s="41"/>
      <c r="F426" s="41"/>
    </row>
    <row r="427" customFormat="false" ht="15" hidden="false" customHeight="false" outlineLevel="0" collapsed="false">
      <c r="C427" s="41"/>
      <c r="E427" s="41"/>
      <c r="F427" s="41"/>
    </row>
    <row r="428" customFormat="false" ht="15" hidden="false" customHeight="false" outlineLevel="0" collapsed="false">
      <c r="C428" s="41"/>
      <c r="E428" s="41"/>
      <c r="F428" s="41"/>
    </row>
    <row r="429" customFormat="false" ht="15" hidden="false" customHeight="false" outlineLevel="0" collapsed="false">
      <c r="C429" s="41"/>
      <c r="E429" s="41"/>
      <c r="F429" s="41"/>
    </row>
    <row r="430" customFormat="false" ht="15" hidden="false" customHeight="false" outlineLevel="0" collapsed="false">
      <c r="C430" s="41"/>
      <c r="E430" s="41"/>
      <c r="F430" s="41"/>
    </row>
    <row r="431" customFormat="false" ht="15" hidden="false" customHeight="false" outlineLevel="0" collapsed="false">
      <c r="C431" s="41"/>
      <c r="E431" s="41"/>
      <c r="F431" s="41"/>
    </row>
    <row r="432" customFormat="false" ht="15" hidden="false" customHeight="false" outlineLevel="0" collapsed="false">
      <c r="C432" s="41"/>
      <c r="E432" s="41"/>
      <c r="F432" s="41"/>
    </row>
    <row r="433" customFormat="false" ht="15" hidden="false" customHeight="false" outlineLevel="0" collapsed="false">
      <c r="C433" s="41"/>
      <c r="E433" s="41"/>
      <c r="F433" s="41"/>
    </row>
    <row r="434" customFormat="false" ht="15" hidden="false" customHeight="false" outlineLevel="0" collapsed="false">
      <c r="C434" s="41"/>
      <c r="E434" s="41"/>
      <c r="F434" s="41"/>
    </row>
    <row r="435" customFormat="false" ht="15" hidden="false" customHeight="false" outlineLevel="0" collapsed="false">
      <c r="C435" s="41"/>
      <c r="E435" s="41"/>
      <c r="F435" s="41"/>
    </row>
    <row r="436" customFormat="false" ht="15" hidden="false" customHeight="false" outlineLevel="0" collapsed="false">
      <c r="C436" s="41"/>
      <c r="E436" s="41"/>
      <c r="F436" s="41"/>
    </row>
    <row r="437" customFormat="false" ht="15" hidden="false" customHeight="false" outlineLevel="0" collapsed="false">
      <c r="C437" s="41"/>
      <c r="E437" s="41"/>
      <c r="F437" s="41"/>
    </row>
    <row r="438" customFormat="false" ht="15" hidden="false" customHeight="false" outlineLevel="0" collapsed="false">
      <c r="C438" s="41"/>
      <c r="E438" s="41"/>
      <c r="F438" s="41"/>
    </row>
    <row r="439" customFormat="false" ht="15" hidden="false" customHeight="false" outlineLevel="0" collapsed="false">
      <c r="C439" s="41"/>
      <c r="E439" s="41"/>
      <c r="F439" s="41"/>
    </row>
    <row r="440" customFormat="false" ht="15" hidden="false" customHeight="false" outlineLevel="0" collapsed="false">
      <c r="C440" s="41"/>
      <c r="E440" s="41"/>
      <c r="F440" s="41"/>
    </row>
    <row r="441" customFormat="false" ht="15" hidden="false" customHeight="false" outlineLevel="0" collapsed="false">
      <c r="C441" s="41"/>
      <c r="E441" s="41"/>
      <c r="F441" s="41"/>
    </row>
    <row r="442" customFormat="false" ht="15" hidden="false" customHeight="false" outlineLevel="0" collapsed="false">
      <c r="C442" s="41"/>
      <c r="E442" s="41"/>
      <c r="F442" s="41"/>
    </row>
    <row r="443" customFormat="false" ht="15" hidden="false" customHeight="false" outlineLevel="0" collapsed="false">
      <c r="C443" s="41"/>
      <c r="E443" s="41"/>
      <c r="F443" s="41"/>
    </row>
    <row r="444" customFormat="false" ht="15" hidden="false" customHeight="false" outlineLevel="0" collapsed="false">
      <c r="C444" s="41"/>
      <c r="E444" s="41"/>
      <c r="F444" s="41"/>
    </row>
    <row r="445" customFormat="false" ht="15" hidden="false" customHeight="false" outlineLevel="0" collapsed="false">
      <c r="C445" s="41"/>
      <c r="E445" s="41"/>
      <c r="F445" s="41"/>
    </row>
    <row r="446" customFormat="false" ht="15" hidden="false" customHeight="false" outlineLevel="0" collapsed="false">
      <c r="C446" s="41"/>
      <c r="E446" s="41"/>
      <c r="F446" s="41"/>
    </row>
    <row r="447" customFormat="false" ht="15" hidden="false" customHeight="false" outlineLevel="0" collapsed="false">
      <c r="C447" s="41"/>
      <c r="E447" s="41"/>
      <c r="F447" s="41"/>
    </row>
    <row r="448" customFormat="false" ht="15" hidden="false" customHeight="false" outlineLevel="0" collapsed="false">
      <c r="C448" s="41"/>
      <c r="E448" s="41"/>
      <c r="F448" s="41"/>
    </row>
    <row r="449" customFormat="false" ht="15" hidden="false" customHeight="false" outlineLevel="0" collapsed="false">
      <c r="C449" s="41"/>
      <c r="E449" s="41"/>
      <c r="F449" s="41"/>
    </row>
    <row r="450" customFormat="false" ht="15" hidden="false" customHeight="false" outlineLevel="0" collapsed="false">
      <c r="C450" s="41"/>
      <c r="E450" s="41"/>
      <c r="F450" s="41"/>
    </row>
    <row r="451" customFormat="false" ht="15" hidden="false" customHeight="false" outlineLevel="0" collapsed="false">
      <c r="C451" s="41"/>
      <c r="E451" s="41"/>
      <c r="F451" s="41"/>
    </row>
    <row r="452" customFormat="false" ht="15" hidden="false" customHeight="false" outlineLevel="0" collapsed="false">
      <c r="C452" s="41"/>
      <c r="E452" s="41"/>
      <c r="F452" s="41"/>
    </row>
    <row r="453" customFormat="false" ht="15" hidden="false" customHeight="false" outlineLevel="0" collapsed="false">
      <c r="C453" s="41"/>
      <c r="E453" s="41"/>
      <c r="F453" s="41"/>
    </row>
    <row r="454" customFormat="false" ht="15" hidden="false" customHeight="false" outlineLevel="0" collapsed="false">
      <c r="C454" s="41"/>
      <c r="E454" s="41"/>
      <c r="F454" s="41"/>
    </row>
    <row r="455" customFormat="false" ht="15" hidden="false" customHeight="false" outlineLevel="0" collapsed="false">
      <c r="C455" s="41"/>
      <c r="E455" s="41"/>
      <c r="F455" s="41"/>
    </row>
    <row r="456" customFormat="false" ht="15" hidden="false" customHeight="false" outlineLevel="0" collapsed="false">
      <c r="C456" s="41"/>
      <c r="E456" s="41"/>
      <c r="F456" s="41"/>
    </row>
    <row r="457" customFormat="false" ht="15" hidden="false" customHeight="false" outlineLevel="0" collapsed="false">
      <c r="C457" s="41"/>
      <c r="E457" s="41"/>
      <c r="F457" s="41"/>
    </row>
    <row r="458" customFormat="false" ht="15" hidden="false" customHeight="false" outlineLevel="0" collapsed="false">
      <c r="C458" s="41"/>
      <c r="E458" s="41"/>
      <c r="F458" s="41"/>
    </row>
    <row r="459" customFormat="false" ht="15" hidden="false" customHeight="false" outlineLevel="0" collapsed="false">
      <c r="C459" s="41"/>
      <c r="E459" s="41"/>
      <c r="F459" s="41"/>
    </row>
    <row r="460" customFormat="false" ht="15" hidden="false" customHeight="false" outlineLevel="0" collapsed="false">
      <c r="C460" s="41"/>
      <c r="E460" s="41"/>
      <c r="F460" s="41"/>
    </row>
    <row r="461" customFormat="false" ht="15" hidden="false" customHeight="false" outlineLevel="0" collapsed="false">
      <c r="C461" s="41"/>
      <c r="E461" s="41"/>
      <c r="F461" s="41"/>
    </row>
    <row r="462" customFormat="false" ht="15" hidden="false" customHeight="false" outlineLevel="0" collapsed="false">
      <c r="C462" s="41"/>
      <c r="E462" s="41"/>
      <c r="F462" s="41"/>
    </row>
    <row r="463" customFormat="false" ht="15" hidden="false" customHeight="false" outlineLevel="0" collapsed="false">
      <c r="C463" s="41"/>
      <c r="E463" s="41"/>
      <c r="F463" s="41"/>
    </row>
    <row r="464" customFormat="false" ht="15" hidden="false" customHeight="false" outlineLevel="0" collapsed="false">
      <c r="C464" s="41"/>
      <c r="E464" s="41"/>
      <c r="F464" s="41"/>
    </row>
    <row r="465" customFormat="false" ht="15" hidden="false" customHeight="false" outlineLevel="0" collapsed="false">
      <c r="C465" s="41"/>
      <c r="E465" s="41"/>
      <c r="F465" s="41"/>
    </row>
    <row r="466" customFormat="false" ht="15" hidden="false" customHeight="false" outlineLevel="0" collapsed="false">
      <c r="C466" s="41"/>
      <c r="E466" s="41"/>
      <c r="F466" s="41"/>
    </row>
    <row r="467" customFormat="false" ht="15" hidden="false" customHeight="false" outlineLevel="0" collapsed="false">
      <c r="C467" s="41"/>
      <c r="E467" s="41"/>
      <c r="F467" s="41"/>
    </row>
    <row r="468" customFormat="false" ht="15" hidden="false" customHeight="false" outlineLevel="0" collapsed="false">
      <c r="C468" s="41"/>
      <c r="E468" s="41"/>
      <c r="F468" s="41"/>
    </row>
    <row r="469" customFormat="false" ht="15" hidden="false" customHeight="false" outlineLevel="0" collapsed="false">
      <c r="C469" s="41"/>
      <c r="E469" s="41"/>
      <c r="F469" s="41"/>
    </row>
    <row r="470" customFormat="false" ht="15" hidden="false" customHeight="false" outlineLevel="0" collapsed="false">
      <c r="C470" s="41"/>
      <c r="E470" s="41"/>
      <c r="F470" s="41"/>
    </row>
    <row r="471" customFormat="false" ht="15" hidden="false" customHeight="false" outlineLevel="0" collapsed="false">
      <c r="C471" s="41"/>
      <c r="E471" s="41"/>
      <c r="F471" s="41"/>
    </row>
    <row r="472" customFormat="false" ht="15" hidden="false" customHeight="false" outlineLevel="0" collapsed="false">
      <c r="C472" s="41"/>
      <c r="E472" s="41"/>
      <c r="F472" s="41"/>
    </row>
    <row r="473" customFormat="false" ht="15" hidden="false" customHeight="false" outlineLevel="0" collapsed="false">
      <c r="C473" s="41"/>
      <c r="E473" s="41"/>
      <c r="F473" s="41"/>
    </row>
    <row r="474" customFormat="false" ht="15" hidden="false" customHeight="false" outlineLevel="0" collapsed="false">
      <c r="C474" s="41"/>
      <c r="E474" s="41"/>
      <c r="F474" s="41"/>
    </row>
    <row r="475" customFormat="false" ht="15" hidden="false" customHeight="false" outlineLevel="0" collapsed="false">
      <c r="C475" s="41"/>
      <c r="E475" s="41"/>
      <c r="F475" s="41"/>
    </row>
    <row r="476" customFormat="false" ht="15" hidden="false" customHeight="false" outlineLevel="0" collapsed="false">
      <c r="C476" s="41"/>
      <c r="E476" s="41"/>
      <c r="F476" s="41"/>
    </row>
    <row r="477" customFormat="false" ht="15" hidden="false" customHeight="false" outlineLevel="0" collapsed="false">
      <c r="C477" s="41"/>
      <c r="E477" s="41"/>
      <c r="F477" s="41"/>
    </row>
    <row r="478" customFormat="false" ht="15" hidden="false" customHeight="false" outlineLevel="0" collapsed="false">
      <c r="C478" s="41"/>
      <c r="E478" s="41"/>
      <c r="F478" s="41"/>
    </row>
    <row r="479" customFormat="false" ht="15" hidden="false" customHeight="false" outlineLevel="0" collapsed="false">
      <c r="C479" s="41"/>
      <c r="E479" s="41"/>
      <c r="F479" s="41"/>
    </row>
    <row r="480" customFormat="false" ht="15" hidden="false" customHeight="false" outlineLevel="0" collapsed="false">
      <c r="C480" s="41"/>
      <c r="E480" s="41"/>
      <c r="F480" s="41"/>
    </row>
    <row r="481" customFormat="false" ht="15" hidden="false" customHeight="false" outlineLevel="0" collapsed="false">
      <c r="C481" s="41"/>
      <c r="E481" s="41"/>
      <c r="F481" s="41"/>
    </row>
    <row r="482" customFormat="false" ht="15" hidden="false" customHeight="false" outlineLevel="0" collapsed="false">
      <c r="C482" s="41"/>
      <c r="E482" s="41"/>
      <c r="F482" s="41"/>
    </row>
    <row r="483" customFormat="false" ht="15" hidden="false" customHeight="false" outlineLevel="0" collapsed="false">
      <c r="C483" s="41"/>
      <c r="E483" s="41"/>
      <c r="F483" s="41"/>
    </row>
    <row r="484" customFormat="false" ht="15" hidden="false" customHeight="false" outlineLevel="0" collapsed="false">
      <c r="C484" s="41"/>
      <c r="E484" s="41"/>
      <c r="F484" s="41"/>
    </row>
    <row r="485" customFormat="false" ht="15" hidden="false" customHeight="false" outlineLevel="0" collapsed="false">
      <c r="C485" s="41"/>
      <c r="E485" s="41"/>
      <c r="F485" s="41"/>
    </row>
    <row r="486" customFormat="false" ht="15" hidden="false" customHeight="false" outlineLevel="0" collapsed="false">
      <c r="C486" s="41"/>
      <c r="E486" s="41"/>
      <c r="F486" s="41"/>
    </row>
    <row r="487" customFormat="false" ht="15" hidden="false" customHeight="false" outlineLevel="0" collapsed="false">
      <c r="C487" s="41"/>
      <c r="E487" s="41"/>
      <c r="F487" s="41"/>
    </row>
    <row r="488" customFormat="false" ht="15" hidden="false" customHeight="false" outlineLevel="0" collapsed="false">
      <c r="C488" s="41"/>
      <c r="E488" s="41"/>
      <c r="F488" s="41"/>
    </row>
    <row r="489" customFormat="false" ht="15" hidden="false" customHeight="false" outlineLevel="0" collapsed="false">
      <c r="C489" s="41"/>
      <c r="E489" s="41"/>
      <c r="F489" s="41"/>
    </row>
    <row r="490" customFormat="false" ht="15" hidden="false" customHeight="false" outlineLevel="0" collapsed="false">
      <c r="C490" s="41"/>
      <c r="E490" s="41"/>
      <c r="F490" s="41"/>
    </row>
    <row r="491" customFormat="false" ht="15" hidden="false" customHeight="false" outlineLevel="0" collapsed="false">
      <c r="C491" s="41"/>
      <c r="E491" s="41"/>
      <c r="F491" s="41"/>
    </row>
    <row r="492" customFormat="false" ht="15" hidden="false" customHeight="false" outlineLevel="0" collapsed="false">
      <c r="C492" s="41"/>
      <c r="E492" s="41"/>
      <c r="F492" s="41"/>
    </row>
    <row r="493" customFormat="false" ht="15" hidden="false" customHeight="false" outlineLevel="0" collapsed="false">
      <c r="C493" s="41"/>
      <c r="E493" s="41"/>
      <c r="F493" s="41"/>
    </row>
    <row r="494" customFormat="false" ht="15" hidden="false" customHeight="false" outlineLevel="0" collapsed="false">
      <c r="C494" s="41"/>
      <c r="E494" s="41"/>
      <c r="F494" s="41"/>
    </row>
    <row r="495" customFormat="false" ht="15" hidden="false" customHeight="false" outlineLevel="0" collapsed="false">
      <c r="C495" s="41"/>
      <c r="E495" s="41"/>
      <c r="F495" s="41"/>
    </row>
    <row r="496" customFormat="false" ht="15" hidden="false" customHeight="false" outlineLevel="0" collapsed="false">
      <c r="C496" s="41"/>
      <c r="E496" s="41"/>
      <c r="F496" s="41"/>
    </row>
    <row r="497" customFormat="false" ht="15" hidden="false" customHeight="false" outlineLevel="0" collapsed="false">
      <c r="C497" s="41"/>
      <c r="E497" s="41"/>
      <c r="F497" s="41"/>
    </row>
    <row r="498" customFormat="false" ht="15" hidden="false" customHeight="false" outlineLevel="0" collapsed="false">
      <c r="C498" s="41"/>
      <c r="E498" s="41"/>
      <c r="F498" s="41"/>
    </row>
    <row r="499" customFormat="false" ht="15" hidden="false" customHeight="false" outlineLevel="0" collapsed="false">
      <c r="C499" s="41"/>
      <c r="E499" s="41"/>
      <c r="F499" s="41"/>
    </row>
    <row r="500" customFormat="false" ht="15" hidden="false" customHeight="false" outlineLevel="0" collapsed="false">
      <c r="C500" s="41"/>
      <c r="E500" s="41"/>
      <c r="F500" s="41"/>
    </row>
  </sheetData>
  <autoFilter ref="A1:G200"/>
  <dataValidations count="3">
    <dataValidation allowBlank="true" error="Escolha um valor da lista." errorStyle="stop" errorTitle="Valor inválido" operator="equal" showDropDown="false" showErrorMessage="true" showInputMessage="false" sqref="C2:C500" type="list">
      <formula1>"Avaria,Falha,Pendência"</formula1>
      <formula2>0</formula2>
    </dataValidation>
    <dataValidation allowBlank="true" error="Escolha um valor da lista." errorStyle="stop" errorTitle="Valor inválido" operator="equal" showDropDown="false" showErrorMessage="true" showInputMessage="false" sqref="E2:E500" type="list">
      <formula1>"Baixa,Média,Alta,Crítica"</formula1>
      <formula2>0</formula2>
    </dataValidation>
    <dataValidation allowBlank="true" error="Escolha um valor da lista." errorStyle="stop" errorTitle="Valor inválido" operator="equal" showDropDown="false" showErrorMessage="true" showInputMessage="false" sqref="F2:F500" type="list">
      <formula1>"Aberta,Em Correção,Resolvida"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8" min="8" style="0" width="22"/>
    <col collapsed="false" customWidth="true" hidden="true" outlineLevel="0" max="9" min="9" style="0" width="14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40" t="s">
        <v>12</v>
      </c>
      <c r="B1" s="40" t="s">
        <v>83</v>
      </c>
      <c r="C1" s="40" t="s">
        <v>13</v>
      </c>
      <c r="D1" s="40" t="s">
        <v>249</v>
      </c>
      <c r="E1" s="40" t="s">
        <v>42</v>
      </c>
      <c r="F1" s="40" t="s">
        <v>43</v>
      </c>
      <c r="G1" s="40" t="s">
        <v>250</v>
      </c>
      <c r="H1" s="40" t="s">
        <v>19</v>
      </c>
      <c r="I1" s="40"/>
    </row>
    <row r="2" customFormat="false" ht="13.8" hidden="false" customHeight="false" outlineLevel="0" collapsed="false">
      <c r="A2" s="0" t="s">
        <v>251</v>
      </c>
      <c r="B2" s="0" t="s">
        <v>90</v>
      </c>
      <c r="C2" s="0" t="s">
        <v>115</v>
      </c>
      <c r="D2" s="0" t="s">
        <v>252</v>
      </c>
      <c r="E2" s="41" t="s">
        <v>110</v>
      </c>
      <c r="F2" s="41" t="s">
        <v>114</v>
      </c>
      <c r="G2" s="0" t="n">
        <v>4200</v>
      </c>
      <c r="H2" s="0" t="s">
        <v>253</v>
      </c>
      <c r="I2" s="42" t="str">
        <f aca="false">IF(OR($B2="",$B2&lt;&gt;PASSAPORTE!$B$4),"",COUNTIF($B$2:$B2,PASSAPORTE!$B$4))</f>
        <v/>
      </c>
    </row>
    <row r="3" customFormat="false" ht="13.8" hidden="false" customHeight="false" outlineLevel="0" collapsed="false">
      <c r="A3" s="0" t="s">
        <v>254</v>
      </c>
      <c r="B3" s="0" t="s">
        <v>30</v>
      </c>
      <c r="C3" s="0" t="s">
        <v>111</v>
      </c>
      <c r="D3" s="0" t="s">
        <v>252</v>
      </c>
      <c r="E3" s="41" t="s">
        <v>101</v>
      </c>
      <c r="F3" s="41" t="s">
        <v>110</v>
      </c>
      <c r="G3" s="0" t="n">
        <v>98750</v>
      </c>
      <c r="H3" s="0" t="s">
        <v>255</v>
      </c>
      <c r="I3" s="42" t="n">
        <f aca="false">IF(OR($B3="",$B3&lt;&gt;PASSAPORTE!$B$4),"",COUNTIF($B$2:$B3,PASSAPORTE!$B$4))</f>
        <v>1</v>
      </c>
    </row>
    <row r="4" customFormat="false" ht="13.8" hidden="false" customHeight="false" outlineLevel="0" collapsed="false">
      <c r="A4" s="0" t="s">
        <v>256</v>
      </c>
      <c r="B4" s="0" t="s">
        <v>91</v>
      </c>
      <c r="C4" s="0" t="s">
        <v>118</v>
      </c>
      <c r="D4" s="0" t="s">
        <v>252</v>
      </c>
      <c r="E4" s="41" t="s">
        <v>106</v>
      </c>
      <c r="F4" s="41" t="s">
        <v>106</v>
      </c>
      <c r="G4" s="0" t="n">
        <v>18400</v>
      </c>
      <c r="H4" s="0" t="s">
        <v>257</v>
      </c>
      <c r="I4" s="42" t="str">
        <f aca="false">IF(OR($B4="",$B4&lt;&gt;PASSAPORTE!$B$4),"",COUNTIF($B$2:$B4,PASSAPORTE!$B$4))</f>
        <v/>
      </c>
    </row>
    <row r="5" customFormat="false" ht="13.8" hidden="false" customHeight="false" outlineLevel="0" collapsed="false">
      <c r="A5" s="0" t="s">
        <v>258</v>
      </c>
      <c r="B5" s="0" t="s">
        <v>89</v>
      </c>
      <c r="C5" s="0" t="s">
        <v>102</v>
      </c>
      <c r="D5" s="0" t="s">
        <v>252</v>
      </c>
      <c r="E5" s="41" t="s">
        <v>106</v>
      </c>
      <c r="F5" s="41" t="s">
        <v>106</v>
      </c>
      <c r="G5" s="0" t="n">
        <v>82300</v>
      </c>
      <c r="H5" s="0" t="s">
        <v>257</v>
      </c>
      <c r="I5" s="42" t="str">
        <f aca="false">IF(OR($B5="",$B5&lt;&gt;PASSAPORTE!$B$4),"",COUNTIF($B$2:$B5,PASSAPORTE!$B$4))</f>
        <v/>
      </c>
    </row>
    <row r="6" customFormat="false" ht="13.8" hidden="false" customHeight="false" outlineLevel="0" collapsed="false">
      <c r="A6" s="0" t="s">
        <v>259</v>
      </c>
      <c r="B6" s="0" t="s">
        <v>88</v>
      </c>
      <c r="C6" s="0" t="s">
        <v>102</v>
      </c>
      <c r="D6" s="0" t="s">
        <v>252</v>
      </c>
      <c r="E6" s="41" t="s">
        <v>106</v>
      </c>
      <c r="F6" s="41" t="s">
        <v>101</v>
      </c>
      <c r="G6" s="0" t="n">
        <v>152340</v>
      </c>
      <c r="H6" s="0" t="s">
        <v>260</v>
      </c>
      <c r="I6" s="0" t="str">
        <f aca="false">IF(OR($B6="",$B6&lt;&gt;PASSAPORTE!$B$4),"",COUNTIF($B$2:$B6,PASSAPORTE!$B$4))</f>
        <v/>
      </c>
    </row>
    <row r="7" customFormat="false" ht="13.8" hidden="false" customHeight="false" outlineLevel="0" collapsed="false">
      <c r="A7" s="0" t="s">
        <v>261</v>
      </c>
      <c r="B7" s="0" t="s">
        <v>88</v>
      </c>
      <c r="C7" s="0" t="s">
        <v>262</v>
      </c>
      <c r="D7" s="0" t="s">
        <v>252</v>
      </c>
      <c r="E7" s="41" t="s">
        <v>263</v>
      </c>
      <c r="F7" s="41" t="s">
        <v>106</v>
      </c>
      <c r="G7" s="0" t="n">
        <v>148000</v>
      </c>
      <c r="H7" s="0" t="s">
        <v>264</v>
      </c>
      <c r="I7" s="0" t="str">
        <f aca="false">IF(OR($B7="",$B7&lt;&gt;PASSAPORTE!$B$4),"",COUNTIF($B$2:$B7,PASSAPORTE!$B$4))</f>
        <v/>
      </c>
    </row>
    <row r="8" customFormat="false" ht="15" hidden="false" customHeight="false" outlineLevel="0" collapsed="false">
      <c r="E8" s="41"/>
      <c r="F8" s="41"/>
    </row>
    <row r="9" customFormat="false" ht="15" hidden="false" customHeight="false" outlineLevel="0" collapsed="false">
      <c r="E9" s="41"/>
      <c r="F9" s="41"/>
    </row>
    <row r="10" customFormat="false" ht="15" hidden="false" customHeight="false" outlineLevel="0" collapsed="false">
      <c r="E10" s="41"/>
      <c r="F10" s="41"/>
    </row>
    <row r="11" customFormat="false" ht="15" hidden="false" customHeight="false" outlineLevel="0" collapsed="false">
      <c r="E11" s="41"/>
      <c r="F11" s="41"/>
    </row>
    <row r="12" customFormat="false" ht="15" hidden="false" customHeight="false" outlineLevel="0" collapsed="false">
      <c r="E12" s="41"/>
      <c r="F12" s="41"/>
    </row>
    <row r="13" customFormat="false" ht="15" hidden="false" customHeight="false" outlineLevel="0" collapsed="false">
      <c r="E13" s="41"/>
      <c r="F13" s="41"/>
    </row>
    <row r="14" customFormat="false" ht="15" hidden="false" customHeight="false" outlineLevel="0" collapsed="false">
      <c r="E14" s="41"/>
      <c r="F14" s="41"/>
    </row>
    <row r="15" customFormat="false" ht="15" hidden="false" customHeight="false" outlineLevel="0" collapsed="false">
      <c r="E15" s="41"/>
      <c r="F15" s="41"/>
    </row>
    <row r="16" customFormat="false" ht="15" hidden="false" customHeight="false" outlineLevel="0" collapsed="false">
      <c r="E16" s="41"/>
      <c r="F16" s="41"/>
    </row>
    <row r="17" customFormat="false" ht="15" hidden="false" customHeight="false" outlineLevel="0" collapsed="false">
      <c r="E17" s="41"/>
      <c r="F17" s="41"/>
    </row>
    <row r="18" customFormat="false" ht="15" hidden="false" customHeight="false" outlineLevel="0" collapsed="false">
      <c r="E18" s="41"/>
      <c r="F18" s="41"/>
    </row>
    <row r="19" customFormat="false" ht="15" hidden="false" customHeight="false" outlineLevel="0" collapsed="false">
      <c r="E19" s="41"/>
      <c r="F19" s="41"/>
    </row>
    <row r="20" customFormat="false" ht="15" hidden="false" customHeight="false" outlineLevel="0" collapsed="false">
      <c r="E20" s="41"/>
      <c r="F20" s="41"/>
    </row>
    <row r="21" customFormat="false" ht="15" hidden="false" customHeight="false" outlineLevel="0" collapsed="false">
      <c r="E21" s="41"/>
      <c r="F21" s="41"/>
    </row>
    <row r="22" customFormat="false" ht="15" hidden="false" customHeight="false" outlineLevel="0" collapsed="false">
      <c r="E22" s="41"/>
      <c r="F22" s="41"/>
    </row>
    <row r="23" customFormat="false" ht="15" hidden="false" customHeight="false" outlineLevel="0" collapsed="false">
      <c r="E23" s="41"/>
      <c r="F23" s="41"/>
    </row>
    <row r="24" customFormat="false" ht="15" hidden="false" customHeight="false" outlineLevel="0" collapsed="false">
      <c r="E24" s="41"/>
      <c r="F24" s="41"/>
    </row>
    <row r="25" customFormat="false" ht="15" hidden="false" customHeight="false" outlineLevel="0" collapsed="false">
      <c r="E25" s="41"/>
      <c r="F25" s="41"/>
    </row>
    <row r="26" customFormat="false" ht="15" hidden="false" customHeight="false" outlineLevel="0" collapsed="false">
      <c r="E26" s="41"/>
      <c r="F26" s="41"/>
    </row>
    <row r="27" customFormat="false" ht="15" hidden="false" customHeight="false" outlineLevel="0" collapsed="false">
      <c r="E27" s="41"/>
      <c r="F27" s="41"/>
    </row>
    <row r="28" customFormat="false" ht="15" hidden="false" customHeight="false" outlineLevel="0" collapsed="false">
      <c r="E28" s="41"/>
      <c r="F28" s="41"/>
    </row>
    <row r="29" customFormat="false" ht="15" hidden="false" customHeight="false" outlineLevel="0" collapsed="false">
      <c r="E29" s="41"/>
      <c r="F29" s="41"/>
    </row>
    <row r="30" customFormat="false" ht="15" hidden="false" customHeight="false" outlineLevel="0" collapsed="false">
      <c r="E30" s="41"/>
      <c r="F30" s="41"/>
    </row>
    <row r="31" customFormat="false" ht="15" hidden="false" customHeight="false" outlineLevel="0" collapsed="false">
      <c r="E31" s="41"/>
      <c r="F31" s="41"/>
    </row>
    <row r="32" customFormat="false" ht="15" hidden="false" customHeight="false" outlineLevel="0" collapsed="false">
      <c r="E32" s="41"/>
      <c r="F32" s="41"/>
    </row>
    <row r="33" customFormat="false" ht="15" hidden="false" customHeight="false" outlineLevel="0" collapsed="false">
      <c r="E33" s="41"/>
      <c r="F33" s="41"/>
    </row>
    <row r="34" customFormat="false" ht="15" hidden="false" customHeight="false" outlineLevel="0" collapsed="false">
      <c r="E34" s="41"/>
      <c r="F34" s="41"/>
    </row>
    <row r="35" customFormat="false" ht="15" hidden="false" customHeight="false" outlineLevel="0" collapsed="false">
      <c r="E35" s="41"/>
      <c r="F35" s="41"/>
    </row>
    <row r="36" customFormat="false" ht="15" hidden="false" customHeight="false" outlineLevel="0" collapsed="false">
      <c r="E36" s="41"/>
      <c r="F36" s="41"/>
    </row>
    <row r="37" customFormat="false" ht="15" hidden="false" customHeight="false" outlineLevel="0" collapsed="false">
      <c r="E37" s="41"/>
      <c r="F37" s="41"/>
    </row>
    <row r="38" customFormat="false" ht="15" hidden="false" customHeight="false" outlineLevel="0" collapsed="false">
      <c r="E38" s="41"/>
      <c r="F38" s="41"/>
    </row>
    <row r="39" customFormat="false" ht="15" hidden="false" customHeight="false" outlineLevel="0" collapsed="false">
      <c r="E39" s="41"/>
      <c r="F39" s="41"/>
    </row>
    <row r="40" customFormat="false" ht="15" hidden="false" customHeight="false" outlineLevel="0" collapsed="false">
      <c r="E40" s="41"/>
      <c r="F40" s="41"/>
    </row>
    <row r="41" customFormat="false" ht="15" hidden="false" customHeight="false" outlineLevel="0" collapsed="false">
      <c r="E41" s="41"/>
      <c r="F41" s="41"/>
    </row>
    <row r="42" customFormat="false" ht="15" hidden="false" customHeight="false" outlineLevel="0" collapsed="false">
      <c r="E42" s="41"/>
      <c r="F42" s="41"/>
    </row>
    <row r="43" customFormat="false" ht="15" hidden="false" customHeight="false" outlineLevel="0" collapsed="false">
      <c r="E43" s="41"/>
      <c r="F43" s="41"/>
    </row>
    <row r="44" customFormat="false" ht="15" hidden="false" customHeight="false" outlineLevel="0" collapsed="false">
      <c r="E44" s="41"/>
      <c r="F44" s="41"/>
    </row>
    <row r="45" customFormat="false" ht="15" hidden="false" customHeight="false" outlineLevel="0" collapsed="false">
      <c r="E45" s="41"/>
      <c r="F45" s="41"/>
    </row>
    <row r="46" customFormat="false" ht="15" hidden="false" customHeight="false" outlineLevel="0" collapsed="false">
      <c r="E46" s="41"/>
      <c r="F46" s="41"/>
    </row>
    <row r="47" customFormat="false" ht="15" hidden="false" customHeight="false" outlineLevel="0" collapsed="false">
      <c r="E47" s="41"/>
      <c r="F47" s="41"/>
    </row>
    <row r="48" customFormat="false" ht="15" hidden="false" customHeight="false" outlineLevel="0" collapsed="false">
      <c r="E48" s="41"/>
      <c r="F48" s="41"/>
    </row>
    <row r="49" customFormat="false" ht="15" hidden="false" customHeight="false" outlineLevel="0" collapsed="false">
      <c r="E49" s="41"/>
      <c r="F49" s="41"/>
    </row>
    <row r="50" customFormat="false" ht="15" hidden="false" customHeight="false" outlineLevel="0" collapsed="false">
      <c r="E50" s="41"/>
      <c r="F50" s="41"/>
    </row>
    <row r="51" customFormat="false" ht="15" hidden="false" customHeight="false" outlineLevel="0" collapsed="false">
      <c r="E51" s="41"/>
      <c r="F51" s="41"/>
    </row>
    <row r="52" customFormat="false" ht="15" hidden="false" customHeight="false" outlineLevel="0" collapsed="false">
      <c r="E52" s="41"/>
      <c r="F52" s="41"/>
    </row>
    <row r="53" customFormat="false" ht="15" hidden="false" customHeight="false" outlineLevel="0" collapsed="false">
      <c r="E53" s="41"/>
      <c r="F53" s="41"/>
    </row>
    <row r="54" customFormat="false" ht="15" hidden="false" customHeight="false" outlineLevel="0" collapsed="false">
      <c r="E54" s="41"/>
      <c r="F54" s="41"/>
    </row>
    <row r="55" customFormat="false" ht="15" hidden="false" customHeight="false" outlineLevel="0" collapsed="false">
      <c r="E55" s="41"/>
      <c r="F55" s="41"/>
    </row>
    <row r="56" customFormat="false" ht="15" hidden="false" customHeight="false" outlineLevel="0" collapsed="false">
      <c r="E56" s="41"/>
      <c r="F56" s="41"/>
    </row>
    <row r="57" customFormat="false" ht="15" hidden="false" customHeight="false" outlineLevel="0" collapsed="false">
      <c r="E57" s="41"/>
      <c r="F57" s="41"/>
    </row>
    <row r="58" customFormat="false" ht="15" hidden="false" customHeight="false" outlineLevel="0" collapsed="false">
      <c r="E58" s="41"/>
      <c r="F58" s="41"/>
    </row>
    <row r="59" customFormat="false" ht="15" hidden="false" customHeight="false" outlineLevel="0" collapsed="false">
      <c r="E59" s="41"/>
      <c r="F59" s="41"/>
    </row>
    <row r="60" customFormat="false" ht="15" hidden="false" customHeight="false" outlineLevel="0" collapsed="false">
      <c r="E60" s="41"/>
      <c r="F60" s="41"/>
    </row>
    <row r="61" customFormat="false" ht="15" hidden="false" customHeight="false" outlineLevel="0" collapsed="false">
      <c r="E61" s="41"/>
      <c r="F61" s="41"/>
    </row>
    <row r="62" customFormat="false" ht="15" hidden="false" customHeight="false" outlineLevel="0" collapsed="false">
      <c r="E62" s="41"/>
      <c r="F62" s="41"/>
    </row>
    <row r="63" customFormat="false" ht="15" hidden="false" customHeight="false" outlineLevel="0" collapsed="false">
      <c r="E63" s="41"/>
      <c r="F63" s="41"/>
    </row>
    <row r="64" customFormat="false" ht="15" hidden="false" customHeight="false" outlineLevel="0" collapsed="false">
      <c r="E64" s="41"/>
      <c r="F64" s="41"/>
    </row>
    <row r="65" customFormat="false" ht="15" hidden="false" customHeight="false" outlineLevel="0" collapsed="false">
      <c r="E65" s="41"/>
      <c r="F65" s="41"/>
    </row>
    <row r="66" customFormat="false" ht="15" hidden="false" customHeight="false" outlineLevel="0" collapsed="false">
      <c r="E66" s="41"/>
      <c r="F66" s="41"/>
    </row>
    <row r="67" customFormat="false" ht="15" hidden="false" customHeight="false" outlineLevel="0" collapsed="false">
      <c r="E67" s="41"/>
      <c r="F67" s="41"/>
    </row>
    <row r="68" customFormat="false" ht="15" hidden="false" customHeight="false" outlineLevel="0" collapsed="false">
      <c r="E68" s="41"/>
      <c r="F68" s="41"/>
    </row>
    <row r="69" customFormat="false" ht="15" hidden="false" customHeight="false" outlineLevel="0" collapsed="false">
      <c r="E69" s="41"/>
      <c r="F69" s="41"/>
    </row>
    <row r="70" customFormat="false" ht="15" hidden="false" customHeight="false" outlineLevel="0" collapsed="false">
      <c r="E70" s="41"/>
      <c r="F70" s="41"/>
    </row>
    <row r="71" customFormat="false" ht="15" hidden="false" customHeight="false" outlineLevel="0" collapsed="false">
      <c r="E71" s="41"/>
      <c r="F71" s="41"/>
    </row>
    <row r="72" customFormat="false" ht="15" hidden="false" customHeight="false" outlineLevel="0" collapsed="false">
      <c r="E72" s="41"/>
      <c r="F72" s="41"/>
    </row>
    <row r="73" customFormat="false" ht="15" hidden="false" customHeight="false" outlineLevel="0" collapsed="false">
      <c r="E73" s="41"/>
      <c r="F73" s="41"/>
    </row>
    <row r="74" customFormat="false" ht="15" hidden="false" customHeight="false" outlineLevel="0" collapsed="false">
      <c r="E74" s="41"/>
      <c r="F74" s="41"/>
    </row>
    <row r="75" customFormat="false" ht="15" hidden="false" customHeight="false" outlineLevel="0" collapsed="false">
      <c r="E75" s="41"/>
      <c r="F75" s="41"/>
    </row>
    <row r="76" customFormat="false" ht="15" hidden="false" customHeight="false" outlineLevel="0" collapsed="false">
      <c r="E76" s="41"/>
      <c r="F76" s="41"/>
    </row>
    <row r="77" customFormat="false" ht="15" hidden="false" customHeight="false" outlineLevel="0" collapsed="false">
      <c r="E77" s="41"/>
      <c r="F77" s="41"/>
    </row>
    <row r="78" customFormat="false" ht="15" hidden="false" customHeight="false" outlineLevel="0" collapsed="false">
      <c r="E78" s="41"/>
      <c r="F78" s="41"/>
    </row>
    <row r="79" customFormat="false" ht="15" hidden="false" customHeight="false" outlineLevel="0" collapsed="false">
      <c r="E79" s="41"/>
      <c r="F79" s="41"/>
    </row>
    <row r="80" customFormat="false" ht="15" hidden="false" customHeight="false" outlineLevel="0" collapsed="false">
      <c r="E80" s="41"/>
      <c r="F80" s="41"/>
    </row>
    <row r="81" customFormat="false" ht="15" hidden="false" customHeight="false" outlineLevel="0" collapsed="false">
      <c r="E81" s="41"/>
      <c r="F81" s="41"/>
    </row>
    <row r="82" customFormat="false" ht="15" hidden="false" customHeight="false" outlineLevel="0" collapsed="false">
      <c r="E82" s="41"/>
      <c r="F82" s="41"/>
    </row>
    <row r="83" customFormat="false" ht="15" hidden="false" customHeight="false" outlineLevel="0" collapsed="false">
      <c r="E83" s="41"/>
      <c r="F83" s="41"/>
    </row>
    <row r="84" customFormat="false" ht="15" hidden="false" customHeight="false" outlineLevel="0" collapsed="false">
      <c r="E84" s="41"/>
      <c r="F84" s="41"/>
    </row>
    <row r="85" customFormat="false" ht="15" hidden="false" customHeight="false" outlineLevel="0" collapsed="false">
      <c r="E85" s="41"/>
      <c r="F85" s="41"/>
    </row>
    <row r="86" customFormat="false" ht="15" hidden="false" customHeight="false" outlineLevel="0" collapsed="false">
      <c r="E86" s="41"/>
      <c r="F86" s="41"/>
    </row>
    <row r="87" customFormat="false" ht="15" hidden="false" customHeight="false" outlineLevel="0" collapsed="false">
      <c r="E87" s="41"/>
      <c r="F87" s="41"/>
    </row>
    <row r="88" customFormat="false" ht="15" hidden="false" customHeight="false" outlineLevel="0" collapsed="false">
      <c r="E88" s="41"/>
      <c r="F88" s="41"/>
    </row>
    <row r="89" customFormat="false" ht="15" hidden="false" customHeight="false" outlineLevel="0" collapsed="false">
      <c r="E89" s="41"/>
      <c r="F89" s="41"/>
    </row>
    <row r="90" customFormat="false" ht="15" hidden="false" customHeight="false" outlineLevel="0" collapsed="false">
      <c r="E90" s="41"/>
      <c r="F90" s="41"/>
    </row>
    <row r="91" customFormat="false" ht="15" hidden="false" customHeight="false" outlineLevel="0" collapsed="false">
      <c r="E91" s="41"/>
      <c r="F91" s="41"/>
    </row>
    <row r="92" customFormat="false" ht="15" hidden="false" customHeight="false" outlineLevel="0" collapsed="false">
      <c r="E92" s="41"/>
      <c r="F92" s="41"/>
    </row>
    <row r="93" customFormat="false" ht="15" hidden="false" customHeight="false" outlineLevel="0" collapsed="false">
      <c r="E93" s="41"/>
      <c r="F93" s="41"/>
    </row>
    <row r="94" customFormat="false" ht="15" hidden="false" customHeight="false" outlineLevel="0" collapsed="false">
      <c r="E94" s="41"/>
      <c r="F94" s="41"/>
    </row>
    <row r="95" customFormat="false" ht="15" hidden="false" customHeight="false" outlineLevel="0" collapsed="false">
      <c r="E95" s="41"/>
      <c r="F95" s="41"/>
    </row>
    <row r="96" customFormat="false" ht="15" hidden="false" customHeight="false" outlineLevel="0" collapsed="false">
      <c r="E96" s="41"/>
      <c r="F96" s="41"/>
    </row>
    <row r="97" customFormat="false" ht="15" hidden="false" customHeight="false" outlineLevel="0" collapsed="false">
      <c r="E97" s="41"/>
      <c r="F97" s="41"/>
    </row>
    <row r="98" customFormat="false" ht="15" hidden="false" customHeight="false" outlineLevel="0" collapsed="false">
      <c r="E98" s="41"/>
      <c r="F98" s="41"/>
    </row>
    <row r="99" customFormat="false" ht="15" hidden="false" customHeight="false" outlineLevel="0" collapsed="false">
      <c r="E99" s="41"/>
      <c r="F99" s="41"/>
    </row>
    <row r="100" customFormat="false" ht="15" hidden="false" customHeight="false" outlineLevel="0" collapsed="false">
      <c r="E100" s="41"/>
      <c r="F100" s="41"/>
    </row>
    <row r="101" customFormat="false" ht="15" hidden="false" customHeight="false" outlineLevel="0" collapsed="false">
      <c r="E101" s="41"/>
      <c r="F101" s="41"/>
    </row>
    <row r="102" customFormat="false" ht="15" hidden="false" customHeight="false" outlineLevel="0" collapsed="false">
      <c r="E102" s="41"/>
      <c r="F102" s="41"/>
    </row>
    <row r="103" customFormat="false" ht="15" hidden="false" customHeight="false" outlineLevel="0" collapsed="false">
      <c r="E103" s="41"/>
      <c r="F103" s="41"/>
    </row>
    <row r="104" customFormat="false" ht="15" hidden="false" customHeight="false" outlineLevel="0" collapsed="false">
      <c r="E104" s="41"/>
      <c r="F104" s="41"/>
    </row>
    <row r="105" customFormat="false" ht="15" hidden="false" customHeight="false" outlineLevel="0" collapsed="false">
      <c r="E105" s="41"/>
      <c r="F105" s="41"/>
    </row>
    <row r="106" customFormat="false" ht="15" hidden="false" customHeight="false" outlineLevel="0" collapsed="false">
      <c r="E106" s="41"/>
      <c r="F106" s="41"/>
    </row>
    <row r="107" customFormat="false" ht="15" hidden="false" customHeight="false" outlineLevel="0" collapsed="false">
      <c r="E107" s="41"/>
      <c r="F107" s="41"/>
    </row>
    <row r="108" customFormat="false" ht="15" hidden="false" customHeight="false" outlineLevel="0" collapsed="false">
      <c r="E108" s="41"/>
      <c r="F108" s="41"/>
    </row>
    <row r="109" customFormat="false" ht="15" hidden="false" customHeight="false" outlineLevel="0" collapsed="false">
      <c r="E109" s="41"/>
      <c r="F109" s="41"/>
    </row>
    <row r="110" customFormat="false" ht="15" hidden="false" customHeight="false" outlineLevel="0" collapsed="false">
      <c r="E110" s="41"/>
      <c r="F110" s="41"/>
    </row>
    <row r="111" customFormat="false" ht="15" hidden="false" customHeight="false" outlineLevel="0" collapsed="false">
      <c r="E111" s="41"/>
      <c r="F111" s="41"/>
    </row>
    <row r="112" customFormat="false" ht="15" hidden="false" customHeight="false" outlineLevel="0" collapsed="false">
      <c r="E112" s="41"/>
      <c r="F112" s="41"/>
    </row>
    <row r="113" customFormat="false" ht="15" hidden="false" customHeight="false" outlineLevel="0" collapsed="false">
      <c r="E113" s="41"/>
      <c r="F113" s="41"/>
    </row>
    <row r="114" customFormat="false" ht="15" hidden="false" customHeight="false" outlineLevel="0" collapsed="false">
      <c r="E114" s="41"/>
      <c r="F114" s="41"/>
    </row>
    <row r="115" customFormat="false" ht="15" hidden="false" customHeight="false" outlineLevel="0" collapsed="false">
      <c r="E115" s="41"/>
      <c r="F115" s="41"/>
    </row>
    <row r="116" customFormat="false" ht="15" hidden="false" customHeight="false" outlineLevel="0" collapsed="false">
      <c r="E116" s="41"/>
      <c r="F116" s="41"/>
    </row>
    <row r="117" customFormat="false" ht="15" hidden="false" customHeight="false" outlineLevel="0" collapsed="false">
      <c r="E117" s="41"/>
      <c r="F117" s="41"/>
    </row>
    <row r="118" customFormat="false" ht="15" hidden="false" customHeight="false" outlineLevel="0" collapsed="false">
      <c r="E118" s="41"/>
      <c r="F118" s="41"/>
    </row>
    <row r="119" customFormat="false" ht="15" hidden="false" customHeight="false" outlineLevel="0" collapsed="false">
      <c r="E119" s="41"/>
      <c r="F119" s="41"/>
    </row>
    <row r="120" customFormat="false" ht="15" hidden="false" customHeight="false" outlineLevel="0" collapsed="false">
      <c r="E120" s="41"/>
      <c r="F120" s="41"/>
    </row>
    <row r="121" customFormat="false" ht="15" hidden="false" customHeight="false" outlineLevel="0" collapsed="false">
      <c r="E121" s="41"/>
      <c r="F121" s="41"/>
    </row>
    <row r="122" customFormat="false" ht="15" hidden="false" customHeight="false" outlineLevel="0" collapsed="false">
      <c r="E122" s="41"/>
      <c r="F122" s="41"/>
    </row>
    <row r="123" customFormat="false" ht="15" hidden="false" customHeight="false" outlineLevel="0" collapsed="false">
      <c r="E123" s="41"/>
      <c r="F123" s="41"/>
    </row>
    <row r="124" customFormat="false" ht="15" hidden="false" customHeight="false" outlineLevel="0" collapsed="false">
      <c r="E124" s="41"/>
      <c r="F124" s="41"/>
    </row>
    <row r="125" customFormat="false" ht="15" hidden="false" customHeight="false" outlineLevel="0" collapsed="false">
      <c r="E125" s="41"/>
      <c r="F125" s="41"/>
    </row>
    <row r="126" customFormat="false" ht="15" hidden="false" customHeight="false" outlineLevel="0" collapsed="false">
      <c r="E126" s="41"/>
      <c r="F126" s="41"/>
    </row>
    <row r="127" customFormat="false" ht="15" hidden="false" customHeight="false" outlineLevel="0" collapsed="false">
      <c r="E127" s="41"/>
      <c r="F127" s="41"/>
    </row>
    <row r="128" customFormat="false" ht="15" hidden="false" customHeight="false" outlineLevel="0" collapsed="false">
      <c r="E128" s="41"/>
      <c r="F128" s="41"/>
    </row>
    <row r="129" customFormat="false" ht="15" hidden="false" customHeight="false" outlineLevel="0" collapsed="false">
      <c r="E129" s="41"/>
      <c r="F129" s="41"/>
    </row>
    <row r="130" customFormat="false" ht="15" hidden="false" customHeight="false" outlineLevel="0" collapsed="false">
      <c r="E130" s="41"/>
      <c r="F130" s="41"/>
    </row>
    <row r="131" customFormat="false" ht="15" hidden="false" customHeight="false" outlineLevel="0" collapsed="false">
      <c r="E131" s="41"/>
      <c r="F131" s="41"/>
    </row>
    <row r="132" customFormat="false" ht="15" hidden="false" customHeight="false" outlineLevel="0" collapsed="false">
      <c r="E132" s="41"/>
      <c r="F132" s="41"/>
    </row>
    <row r="133" customFormat="false" ht="15" hidden="false" customHeight="false" outlineLevel="0" collapsed="false">
      <c r="E133" s="41"/>
      <c r="F133" s="41"/>
    </row>
    <row r="134" customFormat="false" ht="15" hidden="false" customHeight="false" outlineLevel="0" collapsed="false">
      <c r="E134" s="41"/>
      <c r="F134" s="41"/>
    </row>
    <row r="135" customFormat="false" ht="15" hidden="false" customHeight="false" outlineLevel="0" collapsed="false">
      <c r="E135" s="41"/>
      <c r="F135" s="41"/>
    </row>
    <row r="136" customFormat="false" ht="15" hidden="false" customHeight="false" outlineLevel="0" collapsed="false">
      <c r="E136" s="41"/>
      <c r="F136" s="41"/>
    </row>
    <row r="137" customFormat="false" ht="15" hidden="false" customHeight="false" outlineLevel="0" collapsed="false">
      <c r="E137" s="41"/>
      <c r="F137" s="41"/>
    </row>
    <row r="138" customFormat="false" ht="15" hidden="false" customHeight="false" outlineLevel="0" collapsed="false">
      <c r="E138" s="41"/>
      <c r="F138" s="41"/>
    </row>
    <row r="139" customFormat="false" ht="15" hidden="false" customHeight="false" outlineLevel="0" collapsed="false">
      <c r="E139" s="41"/>
      <c r="F139" s="41"/>
    </row>
    <row r="140" customFormat="false" ht="15" hidden="false" customHeight="false" outlineLevel="0" collapsed="false">
      <c r="E140" s="41"/>
      <c r="F140" s="41"/>
    </row>
    <row r="141" customFormat="false" ht="15" hidden="false" customHeight="false" outlineLevel="0" collapsed="false">
      <c r="E141" s="41"/>
      <c r="F141" s="41"/>
    </row>
    <row r="142" customFormat="false" ht="15" hidden="false" customHeight="false" outlineLevel="0" collapsed="false">
      <c r="E142" s="41"/>
      <c r="F142" s="41"/>
    </row>
    <row r="143" customFormat="false" ht="15" hidden="false" customHeight="false" outlineLevel="0" collapsed="false">
      <c r="E143" s="41"/>
      <c r="F143" s="41"/>
    </row>
    <row r="144" customFormat="false" ht="15" hidden="false" customHeight="false" outlineLevel="0" collapsed="false">
      <c r="E144" s="41"/>
      <c r="F144" s="41"/>
    </row>
    <row r="145" customFormat="false" ht="15" hidden="false" customHeight="false" outlineLevel="0" collapsed="false">
      <c r="E145" s="41"/>
      <c r="F145" s="41"/>
    </row>
    <row r="146" customFormat="false" ht="15" hidden="false" customHeight="false" outlineLevel="0" collapsed="false">
      <c r="E146" s="41"/>
      <c r="F146" s="41"/>
    </row>
    <row r="147" customFormat="false" ht="15" hidden="false" customHeight="false" outlineLevel="0" collapsed="false">
      <c r="E147" s="41"/>
      <c r="F147" s="41"/>
    </row>
    <row r="148" customFormat="false" ht="15" hidden="false" customHeight="false" outlineLevel="0" collapsed="false">
      <c r="E148" s="41"/>
      <c r="F148" s="41"/>
    </row>
    <row r="149" customFormat="false" ht="15" hidden="false" customHeight="false" outlineLevel="0" collapsed="false">
      <c r="E149" s="41"/>
      <c r="F149" s="41"/>
    </row>
    <row r="150" customFormat="false" ht="15" hidden="false" customHeight="false" outlineLevel="0" collapsed="false">
      <c r="E150" s="41"/>
      <c r="F150" s="41"/>
    </row>
    <row r="151" customFormat="false" ht="15" hidden="false" customHeight="false" outlineLevel="0" collapsed="false">
      <c r="E151" s="41"/>
      <c r="F151" s="41"/>
    </row>
    <row r="152" customFormat="false" ht="15" hidden="false" customHeight="false" outlineLevel="0" collapsed="false">
      <c r="E152" s="41"/>
      <c r="F152" s="41"/>
    </row>
    <row r="153" customFormat="false" ht="15" hidden="false" customHeight="false" outlineLevel="0" collapsed="false">
      <c r="E153" s="41"/>
      <c r="F153" s="41"/>
    </row>
    <row r="154" customFormat="false" ht="15" hidden="false" customHeight="false" outlineLevel="0" collapsed="false">
      <c r="E154" s="41"/>
      <c r="F154" s="41"/>
    </row>
    <row r="155" customFormat="false" ht="15" hidden="false" customHeight="false" outlineLevel="0" collapsed="false">
      <c r="E155" s="41"/>
      <c r="F155" s="41"/>
    </row>
    <row r="156" customFormat="false" ht="15" hidden="false" customHeight="false" outlineLevel="0" collapsed="false">
      <c r="E156" s="41"/>
      <c r="F156" s="41"/>
    </row>
    <row r="157" customFormat="false" ht="15" hidden="false" customHeight="false" outlineLevel="0" collapsed="false">
      <c r="E157" s="41"/>
      <c r="F157" s="41"/>
    </row>
    <row r="158" customFormat="false" ht="15" hidden="false" customHeight="false" outlineLevel="0" collapsed="false">
      <c r="E158" s="41"/>
      <c r="F158" s="41"/>
    </row>
    <row r="159" customFormat="false" ht="15" hidden="false" customHeight="false" outlineLevel="0" collapsed="false">
      <c r="E159" s="41"/>
      <c r="F159" s="41"/>
    </row>
    <row r="160" customFormat="false" ht="15" hidden="false" customHeight="false" outlineLevel="0" collapsed="false">
      <c r="E160" s="41"/>
      <c r="F160" s="41"/>
    </row>
    <row r="161" customFormat="false" ht="15" hidden="false" customHeight="false" outlineLevel="0" collapsed="false">
      <c r="E161" s="41"/>
      <c r="F161" s="41"/>
    </row>
    <row r="162" customFormat="false" ht="15" hidden="false" customHeight="false" outlineLevel="0" collapsed="false">
      <c r="E162" s="41"/>
      <c r="F162" s="41"/>
    </row>
    <row r="163" customFormat="false" ht="15" hidden="false" customHeight="false" outlineLevel="0" collapsed="false">
      <c r="E163" s="41"/>
      <c r="F163" s="41"/>
    </row>
    <row r="164" customFormat="false" ht="15" hidden="false" customHeight="false" outlineLevel="0" collapsed="false">
      <c r="E164" s="41"/>
      <c r="F164" s="41"/>
    </row>
    <row r="165" customFormat="false" ht="15" hidden="false" customHeight="false" outlineLevel="0" collapsed="false">
      <c r="E165" s="41"/>
      <c r="F165" s="41"/>
    </row>
    <row r="166" customFormat="false" ht="15" hidden="false" customHeight="false" outlineLevel="0" collapsed="false">
      <c r="E166" s="41"/>
      <c r="F166" s="41"/>
    </row>
    <row r="167" customFormat="false" ht="15" hidden="false" customHeight="false" outlineLevel="0" collapsed="false">
      <c r="E167" s="41"/>
      <c r="F167" s="41"/>
    </row>
    <row r="168" customFormat="false" ht="15" hidden="false" customHeight="false" outlineLevel="0" collapsed="false">
      <c r="E168" s="41"/>
      <c r="F168" s="41"/>
    </row>
    <row r="169" customFormat="false" ht="15" hidden="false" customHeight="false" outlineLevel="0" collapsed="false">
      <c r="E169" s="41"/>
      <c r="F169" s="41"/>
    </row>
    <row r="170" customFormat="false" ht="15" hidden="false" customHeight="false" outlineLevel="0" collapsed="false">
      <c r="E170" s="41"/>
      <c r="F170" s="41"/>
    </row>
    <row r="171" customFormat="false" ht="15" hidden="false" customHeight="false" outlineLevel="0" collapsed="false">
      <c r="E171" s="41"/>
      <c r="F171" s="41"/>
    </row>
    <row r="172" customFormat="false" ht="15" hidden="false" customHeight="false" outlineLevel="0" collapsed="false">
      <c r="E172" s="41"/>
      <c r="F172" s="41"/>
    </row>
    <row r="173" customFormat="false" ht="15" hidden="false" customHeight="false" outlineLevel="0" collapsed="false">
      <c r="E173" s="41"/>
      <c r="F173" s="41"/>
    </row>
    <row r="174" customFormat="false" ht="15" hidden="false" customHeight="false" outlineLevel="0" collapsed="false">
      <c r="E174" s="41"/>
      <c r="F174" s="41"/>
    </row>
    <row r="175" customFormat="false" ht="15" hidden="false" customHeight="false" outlineLevel="0" collapsed="false">
      <c r="E175" s="41"/>
      <c r="F175" s="41"/>
    </row>
    <row r="176" customFormat="false" ht="15" hidden="false" customHeight="false" outlineLevel="0" collapsed="false">
      <c r="E176" s="41"/>
      <c r="F176" s="41"/>
    </row>
    <row r="177" customFormat="false" ht="15" hidden="false" customHeight="false" outlineLevel="0" collapsed="false">
      <c r="E177" s="41"/>
      <c r="F177" s="41"/>
    </row>
    <row r="178" customFormat="false" ht="15" hidden="false" customHeight="false" outlineLevel="0" collapsed="false">
      <c r="E178" s="41"/>
      <c r="F178" s="41"/>
    </row>
    <row r="179" customFormat="false" ht="15" hidden="false" customHeight="false" outlineLevel="0" collapsed="false">
      <c r="E179" s="41"/>
      <c r="F179" s="41"/>
    </row>
    <row r="180" customFormat="false" ht="15" hidden="false" customHeight="false" outlineLevel="0" collapsed="false">
      <c r="E180" s="41"/>
      <c r="F180" s="41"/>
    </row>
    <row r="181" customFormat="false" ht="15" hidden="false" customHeight="false" outlineLevel="0" collapsed="false">
      <c r="E181" s="41"/>
      <c r="F181" s="41"/>
    </row>
    <row r="182" customFormat="false" ht="15" hidden="false" customHeight="false" outlineLevel="0" collapsed="false">
      <c r="E182" s="41"/>
      <c r="F182" s="41"/>
    </row>
    <row r="183" customFormat="false" ht="15" hidden="false" customHeight="false" outlineLevel="0" collapsed="false">
      <c r="E183" s="41"/>
      <c r="F183" s="41"/>
    </row>
    <row r="184" customFormat="false" ht="15" hidden="false" customHeight="false" outlineLevel="0" collapsed="false">
      <c r="E184" s="41"/>
      <c r="F184" s="41"/>
    </row>
    <row r="185" customFormat="false" ht="15" hidden="false" customHeight="false" outlineLevel="0" collapsed="false">
      <c r="E185" s="41"/>
      <c r="F185" s="41"/>
    </row>
    <row r="186" customFormat="false" ht="15" hidden="false" customHeight="false" outlineLevel="0" collapsed="false">
      <c r="E186" s="41"/>
      <c r="F186" s="41"/>
    </row>
    <row r="187" customFormat="false" ht="15" hidden="false" customHeight="false" outlineLevel="0" collapsed="false">
      <c r="E187" s="41"/>
      <c r="F187" s="41"/>
    </row>
    <row r="188" customFormat="false" ht="15" hidden="false" customHeight="false" outlineLevel="0" collapsed="false">
      <c r="E188" s="41"/>
      <c r="F188" s="41"/>
    </row>
    <row r="189" customFormat="false" ht="15" hidden="false" customHeight="false" outlineLevel="0" collapsed="false">
      <c r="E189" s="41"/>
      <c r="F189" s="41"/>
    </row>
    <row r="190" customFormat="false" ht="15" hidden="false" customHeight="false" outlineLevel="0" collapsed="false">
      <c r="E190" s="41"/>
      <c r="F190" s="41"/>
    </row>
    <row r="191" customFormat="false" ht="15" hidden="false" customHeight="false" outlineLevel="0" collapsed="false">
      <c r="E191" s="41"/>
      <c r="F191" s="41"/>
    </row>
    <row r="192" customFormat="false" ht="15" hidden="false" customHeight="false" outlineLevel="0" collapsed="false">
      <c r="E192" s="41"/>
      <c r="F192" s="41"/>
    </row>
    <row r="193" customFormat="false" ht="15" hidden="false" customHeight="false" outlineLevel="0" collapsed="false">
      <c r="E193" s="41"/>
      <c r="F193" s="41"/>
    </row>
    <row r="194" customFormat="false" ht="15" hidden="false" customHeight="false" outlineLevel="0" collapsed="false">
      <c r="E194" s="41"/>
      <c r="F194" s="41"/>
    </row>
    <row r="195" customFormat="false" ht="15" hidden="false" customHeight="false" outlineLevel="0" collapsed="false">
      <c r="E195" s="41"/>
      <c r="F195" s="41"/>
    </row>
    <row r="196" customFormat="false" ht="15" hidden="false" customHeight="false" outlineLevel="0" collapsed="false">
      <c r="E196" s="41"/>
      <c r="F196" s="41"/>
    </row>
    <row r="197" customFormat="false" ht="15" hidden="false" customHeight="false" outlineLevel="0" collapsed="false">
      <c r="E197" s="41"/>
      <c r="F197" s="41"/>
    </row>
    <row r="198" customFormat="false" ht="15" hidden="false" customHeight="false" outlineLevel="0" collapsed="false">
      <c r="E198" s="41"/>
      <c r="F198" s="41"/>
    </row>
    <row r="199" customFormat="false" ht="15" hidden="false" customHeight="false" outlineLevel="0" collapsed="false">
      <c r="E199" s="41"/>
      <c r="F199" s="41"/>
    </row>
    <row r="200" customFormat="false" ht="15" hidden="false" customHeight="false" outlineLevel="0" collapsed="false">
      <c r="E200" s="41"/>
      <c r="F200" s="41"/>
    </row>
    <row r="201" customFormat="false" ht="15" hidden="false" customHeight="false" outlineLevel="0" collapsed="false">
      <c r="E201" s="41"/>
      <c r="F201" s="41"/>
    </row>
    <row r="202" customFormat="false" ht="15" hidden="false" customHeight="false" outlineLevel="0" collapsed="false">
      <c r="E202" s="41"/>
      <c r="F202" s="41"/>
    </row>
    <row r="203" customFormat="false" ht="15" hidden="false" customHeight="false" outlineLevel="0" collapsed="false">
      <c r="E203" s="41"/>
      <c r="F203" s="41"/>
    </row>
    <row r="204" customFormat="false" ht="15" hidden="false" customHeight="false" outlineLevel="0" collapsed="false">
      <c r="E204" s="41"/>
      <c r="F204" s="41"/>
    </row>
    <row r="205" customFormat="false" ht="15" hidden="false" customHeight="false" outlineLevel="0" collapsed="false">
      <c r="E205" s="41"/>
      <c r="F205" s="41"/>
    </row>
    <row r="206" customFormat="false" ht="15" hidden="false" customHeight="false" outlineLevel="0" collapsed="false">
      <c r="E206" s="41"/>
      <c r="F206" s="41"/>
    </row>
    <row r="207" customFormat="false" ht="15" hidden="false" customHeight="false" outlineLevel="0" collapsed="false">
      <c r="E207" s="41"/>
      <c r="F207" s="41"/>
    </row>
    <row r="208" customFormat="false" ht="15" hidden="false" customHeight="false" outlineLevel="0" collapsed="false">
      <c r="E208" s="41"/>
      <c r="F208" s="41"/>
    </row>
    <row r="209" customFormat="false" ht="15" hidden="false" customHeight="false" outlineLevel="0" collapsed="false">
      <c r="E209" s="41"/>
      <c r="F209" s="41"/>
    </row>
    <row r="210" customFormat="false" ht="15" hidden="false" customHeight="false" outlineLevel="0" collapsed="false">
      <c r="E210" s="41"/>
      <c r="F210" s="41"/>
    </row>
    <row r="211" customFormat="false" ht="15" hidden="false" customHeight="false" outlineLevel="0" collapsed="false">
      <c r="E211" s="41"/>
      <c r="F211" s="41"/>
    </row>
    <row r="212" customFormat="false" ht="15" hidden="false" customHeight="false" outlineLevel="0" collapsed="false">
      <c r="E212" s="41"/>
      <c r="F212" s="41"/>
    </row>
    <row r="213" customFormat="false" ht="15" hidden="false" customHeight="false" outlineLevel="0" collapsed="false">
      <c r="E213" s="41"/>
      <c r="F213" s="41"/>
    </row>
    <row r="214" customFormat="false" ht="15" hidden="false" customHeight="false" outlineLevel="0" collapsed="false">
      <c r="E214" s="41"/>
      <c r="F214" s="41"/>
    </row>
    <row r="215" customFormat="false" ht="15" hidden="false" customHeight="false" outlineLevel="0" collapsed="false">
      <c r="E215" s="41"/>
      <c r="F215" s="41"/>
    </row>
    <row r="216" customFormat="false" ht="15" hidden="false" customHeight="false" outlineLevel="0" collapsed="false">
      <c r="E216" s="41"/>
      <c r="F216" s="41"/>
    </row>
    <row r="217" customFormat="false" ht="15" hidden="false" customHeight="false" outlineLevel="0" collapsed="false">
      <c r="E217" s="41"/>
      <c r="F217" s="41"/>
    </row>
    <row r="218" customFormat="false" ht="15" hidden="false" customHeight="false" outlineLevel="0" collapsed="false">
      <c r="E218" s="41"/>
      <c r="F218" s="41"/>
    </row>
    <row r="219" customFormat="false" ht="15" hidden="false" customHeight="false" outlineLevel="0" collapsed="false">
      <c r="E219" s="41"/>
      <c r="F219" s="41"/>
    </row>
    <row r="220" customFormat="false" ht="15" hidden="false" customHeight="false" outlineLevel="0" collapsed="false">
      <c r="E220" s="41"/>
      <c r="F220" s="41"/>
    </row>
    <row r="221" customFormat="false" ht="15" hidden="false" customHeight="false" outlineLevel="0" collapsed="false">
      <c r="E221" s="41"/>
      <c r="F221" s="41"/>
    </row>
    <row r="222" customFormat="false" ht="15" hidden="false" customHeight="false" outlineLevel="0" collapsed="false">
      <c r="E222" s="41"/>
      <c r="F222" s="41"/>
    </row>
    <row r="223" customFormat="false" ht="15" hidden="false" customHeight="false" outlineLevel="0" collapsed="false">
      <c r="E223" s="41"/>
      <c r="F223" s="41"/>
    </row>
    <row r="224" customFormat="false" ht="15" hidden="false" customHeight="false" outlineLevel="0" collapsed="false">
      <c r="E224" s="41"/>
      <c r="F224" s="41"/>
    </row>
    <row r="225" customFormat="false" ht="15" hidden="false" customHeight="false" outlineLevel="0" collapsed="false">
      <c r="E225" s="41"/>
      <c r="F225" s="41"/>
    </row>
    <row r="226" customFormat="false" ht="15" hidden="false" customHeight="false" outlineLevel="0" collapsed="false">
      <c r="E226" s="41"/>
      <c r="F226" s="41"/>
    </row>
    <row r="227" customFormat="false" ht="15" hidden="false" customHeight="false" outlineLevel="0" collapsed="false">
      <c r="E227" s="41"/>
      <c r="F227" s="41"/>
    </row>
    <row r="228" customFormat="false" ht="15" hidden="false" customHeight="false" outlineLevel="0" collapsed="false">
      <c r="E228" s="41"/>
      <c r="F228" s="41"/>
    </row>
    <row r="229" customFormat="false" ht="15" hidden="false" customHeight="false" outlineLevel="0" collapsed="false">
      <c r="E229" s="41"/>
      <c r="F229" s="41"/>
    </row>
    <row r="230" customFormat="false" ht="15" hidden="false" customHeight="false" outlineLevel="0" collapsed="false">
      <c r="E230" s="41"/>
      <c r="F230" s="41"/>
    </row>
    <row r="231" customFormat="false" ht="15" hidden="false" customHeight="false" outlineLevel="0" collapsed="false">
      <c r="E231" s="41"/>
      <c r="F231" s="41"/>
    </row>
    <row r="232" customFormat="false" ht="15" hidden="false" customHeight="false" outlineLevel="0" collapsed="false">
      <c r="E232" s="41"/>
      <c r="F232" s="41"/>
    </row>
    <row r="233" customFormat="false" ht="15" hidden="false" customHeight="false" outlineLevel="0" collapsed="false">
      <c r="E233" s="41"/>
      <c r="F233" s="41"/>
    </row>
    <row r="234" customFormat="false" ht="15" hidden="false" customHeight="false" outlineLevel="0" collapsed="false">
      <c r="E234" s="41"/>
      <c r="F234" s="41"/>
    </row>
    <row r="235" customFormat="false" ht="15" hidden="false" customHeight="false" outlineLevel="0" collapsed="false">
      <c r="E235" s="41"/>
      <c r="F235" s="41"/>
    </row>
    <row r="236" customFormat="false" ht="15" hidden="false" customHeight="false" outlineLevel="0" collapsed="false">
      <c r="E236" s="41"/>
      <c r="F236" s="41"/>
    </row>
    <row r="237" customFormat="false" ht="15" hidden="false" customHeight="false" outlineLevel="0" collapsed="false">
      <c r="E237" s="41"/>
      <c r="F237" s="41"/>
    </row>
    <row r="238" customFormat="false" ht="15" hidden="false" customHeight="false" outlineLevel="0" collapsed="false">
      <c r="E238" s="41"/>
      <c r="F238" s="41"/>
    </row>
    <row r="239" customFormat="false" ht="15" hidden="false" customHeight="false" outlineLevel="0" collapsed="false">
      <c r="E239" s="41"/>
      <c r="F239" s="41"/>
    </row>
    <row r="240" customFormat="false" ht="15" hidden="false" customHeight="false" outlineLevel="0" collapsed="false">
      <c r="E240" s="41"/>
      <c r="F240" s="41"/>
    </row>
    <row r="241" customFormat="false" ht="15" hidden="false" customHeight="false" outlineLevel="0" collapsed="false">
      <c r="E241" s="41"/>
      <c r="F241" s="41"/>
    </row>
    <row r="242" customFormat="false" ht="15" hidden="false" customHeight="false" outlineLevel="0" collapsed="false">
      <c r="E242" s="41"/>
      <c r="F242" s="41"/>
    </row>
    <row r="243" customFormat="false" ht="15" hidden="false" customHeight="false" outlineLevel="0" collapsed="false">
      <c r="E243" s="41"/>
      <c r="F243" s="41"/>
    </row>
    <row r="244" customFormat="false" ht="15" hidden="false" customHeight="false" outlineLevel="0" collapsed="false">
      <c r="E244" s="41"/>
      <c r="F244" s="41"/>
    </row>
    <row r="245" customFormat="false" ht="15" hidden="false" customHeight="false" outlineLevel="0" collapsed="false">
      <c r="E245" s="41"/>
      <c r="F245" s="41"/>
    </row>
    <row r="246" customFormat="false" ht="15" hidden="false" customHeight="false" outlineLevel="0" collapsed="false">
      <c r="E246" s="41"/>
      <c r="F246" s="41"/>
    </row>
    <row r="247" customFormat="false" ht="15" hidden="false" customHeight="false" outlineLevel="0" collapsed="false">
      <c r="E247" s="41"/>
      <c r="F247" s="41"/>
    </row>
    <row r="248" customFormat="false" ht="15" hidden="false" customHeight="false" outlineLevel="0" collapsed="false">
      <c r="E248" s="41"/>
      <c r="F248" s="41"/>
    </row>
    <row r="249" customFormat="false" ht="15" hidden="false" customHeight="false" outlineLevel="0" collapsed="false">
      <c r="E249" s="41"/>
      <c r="F249" s="41"/>
    </row>
    <row r="250" customFormat="false" ht="15" hidden="false" customHeight="false" outlineLevel="0" collapsed="false">
      <c r="E250" s="41"/>
      <c r="F250" s="41"/>
    </row>
    <row r="251" customFormat="false" ht="15" hidden="false" customHeight="false" outlineLevel="0" collapsed="false">
      <c r="E251" s="41"/>
      <c r="F251" s="41"/>
    </row>
    <row r="252" customFormat="false" ht="15" hidden="false" customHeight="false" outlineLevel="0" collapsed="false">
      <c r="E252" s="41"/>
      <c r="F252" s="41"/>
    </row>
    <row r="253" customFormat="false" ht="15" hidden="false" customHeight="false" outlineLevel="0" collapsed="false">
      <c r="E253" s="41"/>
      <c r="F253" s="41"/>
    </row>
    <row r="254" customFormat="false" ht="15" hidden="false" customHeight="false" outlineLevel="0" collapsed="false">
      <c r="E254" s="41"/>
      <c r="F254" s="41"/>
    </row>
    <row r="255" customFormat="false" ht="15" hidden="false" customHeight="false" outlineLevel="0" collapsed="false">
      <c r="E255" s="41"/>
      <c r="F255" s="41"/>
    </row>
    <row r="256" customFormat="false" ht="15" hidden="false" customHeight="false" outlineLevel="0" collapsed="false">
      <c r="E256" s="41"/>
      <c r="F256" s="41"/>
    </row>
    <row r="257" customFormat="false" ht="15" hidden="false" customHeight="false" outlineLevel="0" collapsed="false">
      <c r="E257" s="41"/>
      <c r="F257" s="41"/>
    </row>
    <row r="258" customFormat="false" ht="15" hidden="false" customHeight="false" outlineLevel="0" collapsed="false">
      <c r="E258" s="41"/>
      <c r="F258" s="41"/>
    </row>
    <row r="259" customFormat="false" ht="15" hidden="false" customHeight="false" outlineLevel="0" collapsed="false">
      <c r="E259" s="41"/>
      <c r="F259" s="41"/>
    </row>
    <row r="260" customFormat="false" ht="15" hidden="false" customHeight="false" outlineLevel="0" collapsed="false">
      <c r="E260" s="41"/>
      <c r="F260" s="41"/>
    </row>
    <row r="261" customFormat="false" ht="15" hidden="false" customHeight="false" outlineLevel="0" collapsed="false">
      <c r="E261" s="41"/>
      <c r="F261" s="41"/>
    </row>
    <row r="262" customFormat="false" ht="15" hidden="false" customHeight="false" outlineLevel="0" collapsed="false">
      <c r="E262" s="41"/>
      <c r="F262" s="41"/>
    </row>
    <row r="263" customFormat="false" ht="15" hidden="false" customHeight="false" outlineLevel="0" collapsed="false">
      <c r="E263" s="41"/>
      <c r="F263" s="41"/>
    </row>
    <row r="264" customFormat="false" ht="15" hidden="false" customHeight="false" outlineLevel="0" collapsed="false">
      <c r="E264" s="41"/>
      <c r="F264" s="41"/>
    </row>
    <row r="265" customFormat="false" ht="15" hidden="false" customHeight="false" outlineLevel="0" collapsed="false">
      <c r="E265" s="41"/>
      <c r="F265" s="41"/>
    </row>
    <row r="266" customFormat="false" ht="15" hidden="false" customHeight="false" outlineLevel="0" collapsed="false">
      <c r="E266" s="41"/>
      <c r="F266" s="41"/>
    </row>
    <row r="267" customFormat="false" ht="15" hidden="false" customHeight="false" outlineLevel="0" collapsed="false">
      <c r="E267" s="41"/>
      <c r="F267" s="41"/>
    </row>
    <row r="268" customFormat="false" ht="15" hidden="false" customHeight="false" outlineLevel="0" collapsed="false">
      <c r="E268" s="41"/>
      <c r="F268" s="41"/>
    </row>
    <row r="269" customFormat="false" ht="15" hidden="false" customHeight="false" outlineLevel="0" collapsed="false">
      <c r="E269" s="41"/>
      <c r="F269" s="41"/>
    </row>
    <row r="270" customFormat="false" ht="15" hidden="false" customHeight="false" outlineLevel="0" collapsed="false">
      <c r="E270" s="41"/>
      <c r="F270" s="41"/>
    </row>
    <row r="271" customFormat="false" ht="15" hidden="false" customHeight="false" outlineLevel="0" collapsed="false">
      <c r="E271" s="41"/>
      <c r="F271" s="41"/>
    </row>
    <row r="272" customFormat="false" ht="15" hidden="false" customHeight="false" outlineLevel="0" collapsed="false">
      <c r="E272" s="41"/>
      <c r="F272" s="41"/>
    </row>
    <row r="273" customFormat="false" ht="15" hidden="false" customHeight="false" outlineLevel="0" collapsed="false">
      <c r="E273" s="41"/>
      <c r="F273" s="41"/>
    </row>
    <row r="274" customFormat="false" ht="15" hidden="false" customHeight="false" outlineLevel="0" collapsed="false">
      <c r="E274" s="41"/>
      <c r="F274" s="41"/>
    </row>
    <row r="275" customFormat="false" ht="15" hidden="false" customHeight="false" outlineLevel="0" collapsed="false">
      <c r="E275" s="41"/>
      <c r="F275" s="41"/>
    </row>
    <row r="276" customFormat="false" ht="15" hidden="false" customHeight="false" outlineLevel="0" collapsed="false">
      <c r="E276" s="41"/>
      <c r="F276" s="41"/>
    </row>
    <row r="277" customFormat="false" ht="15" hidden="false" customHeight="false" outlineLevel="0" collapsed="false">
      <c r="E277" s="41"/>
      <c r="F277" s="41"/>
    </row>
    <row r="278" customFormat="false" ht="15" hidden="false" customHeight="false" outlineLevel="0" collapsed="false">
      <c r="E278" s="41"/>
      <c r="F278" s="41"/>
    </row>
    <row r="279" customFormat="false" ht="15" hidden="false" customHeight="false" outlineLevel="0" collapsed="false">
      <c r="E279" s="41"/>
      <c r="F279" s="41"/>
    </row>
    <row r="280" customFormat="false" ht="15" hidden="false" customHeight="false" outlineLevel="0" collapsed="false">
      <c r="E280" s="41"/>
      <c r="F280" s="41"/>
    </row>
    <row r="281" customFormat="false" ht="15" hidden="false" customHeight="false" outlineLevel="0" collapsed="false">
      <c r="E281" s="41"/>
      <c r="F281" s="41"/>
    </row>
    <row r="282" customFormat="false" ht="15" hidden="false" customHeight="false" outlineLevel="0" collapsed="false">
      <c r="E282" s="41"/>
      <c r="F282" s="41"/>
    </row>
    <row r="283" customFormat="false" ht="15" hidden="false" customHeight="false" outlineLevel="0" collapsed="false">
      <c r="E283" s="41"/>
      <c r="F283" s="41"/>
    </row>
    <row r="284" customFormat="false" ht="15" hidden="false" customHeight="false" outlineLevel="0" collapsed="false">
      <c r="E284" s="41"/>
      <c r="F284" s="41"/>
    </row>
    <row r="285" customFormat="false" ht="15" hidden="false" customHeight="false" outlineLevel="0" collapsed="false">
      <c r="E285" s="41"/>
      <c r="F285" s="41"/>
    </row>
    <row r="286" customFormat="false" ht="15" hidden="false" customHeight="false" outlineLevel="0" collapsed="false">
      <c r="E286" s="41"/>
      <c r="F286" s="41"/>
    </row>
    <row r="287" customFormat="false" ht="15" hidden="false" customHeight="false" outlineLevel="0" collapsed="false">
      <c r="E287" s="41"/>
      <c r="F287" s="41"/>
    </row>
    <row r="288" customFormat="false" ht="15" hidden="false" customHeight="false" outlineLevel="0" collapsed="false">
      <c r="E288" s="41"/>
      <c r="F288" s="41"/>
    </row>
    <row r="289" customFormat="false" ht="15" hidden="false" customHeight="false" outlineLevel="0" collapsed="false">
      <c r="E289" s="41"/>
      <c r="F289" s="41"/>
    </row>
    <row r="290" customFormat="false" ht="15" hidden="false" customHeight="false" outlineLevel="0" collapsed="false">
      <c r="E290" s="41"/>
      <c r="F290" s="41"/>
    </row>
    <row r="291" customFormat="false" ht="15" hidden="false" customHeight="false" outlineLevel="0" collapsed="false">
      <c r="E291" s="41"/>
      <c r="F291" s="41"/>
    </row>
    <row r="292" customFormat="false" ht="15" hidden="false" customHeight="false" outlineLevel="0" collapsed="false">
      <c r="E292" s="41"/>
      <c r="F292" s="41"/>
    </row>
    <row r="293" customFormat="false" ht="15" hidden="false" customHeight="false" outlineLevel="0" collapsed="false">
      <c r="E293" s="41"/>
      <c r="F293" s="41"/>
    </row>
    <row r="294" customFormat="false" ht="15" hidden="false" customHeight="false" outlineLevel="0" collapsed="false">
      <c r="E294" s="41"/>
      <c r="F294" s="41"/>
    </row>
    <row r="295" customFormat="false" ht="15" hidden="false" customHeight="false" outlineLevel="0" collapsed="false">
      <c r="E295" s="41"/>
      <c r="F295" s="41"/>
    </row>
    <row r="296" customFormat="false" ht="15" hidden="false" customHeight="false" outlineLevel="0" collapsed="false">
      <c r="E296" s="41"/>
      <c r="F296" s="41"/>
    </row>
    <row r="297" customFormat="false" ht="15" hidden="false" customHeight="false" outlineLevel="0" collapsed="false">
      <c r="E297" s="41"/>
      <c r="F297" s="41"/>
    </row>
    <row r="298" customFormat="false" ht="15" hidden="false" customHeight="false" outlineLevel="0" collapsed="false">
      <c r="E298" s="41"/>
      <c r="F298" s="41"/>
    </row>
    <row r="299" customFormat="false" ht="15" hidden="false" customHeight="false" outlineLevel="0" collapsed="false">
      <c r="E299" s="41"/>
      <c r="F299" s="41"/>
    </row>
    <row r="300" customFormat="false" ht="15" hidden="false" customHeight="false" outlineLevel="0" collapsed="false">
      <c r="E300" s="41"/>
      <c r="F300" s="41"/>
    </row>
    <row r="301" customFormat="false" ht="15" hidden="false" customHeight="false" outlineLevel="0" collapsed="false">
      <c r="E301" s="41"/>
      <c r="F301" s="41"/>
    </row>
    <row r="302" customFormat="false" ht="15" hidden="false" customHeight="false" outlineLevel="0" collapsed="false">
      <c r="E302" s="41"/>
      <c r="F302" s="41"/>
    </row>
    <row r="303" customFormat="false" ht="15" hidden="false" customHeight="false" outlineLevel="0" collapsed="false">
      <c r="E303" s="41"/>
      <c r="F303" s="41"/>
    </row>
    <row r="304" customFormat="false" ht="15" hidden="false" customHeight="false" outlineLevel="0" collapsed="false">
      <c r="E304" s="41"/>
      <c r="F304" s="41"/>
    </row>
    <row r="305" customFormat="false" ht="15" hidden="false" customHeight="false" outlineLevel="0" collapsed="false">
      <c r="E305" s="41"/>
      <c r="F305" s="41"/>
    </row>
    <row r="306" customFormat="false" ht="15" hidden="false" customHeight="false" outlineLevel="0" collapsed="false">
      <c r="E306" s="41"/>
      <c r="F306" s="41"/>
    </row>
    <row r="307" customFormat="false" ht="15" hidden="false" customHeight="false" outlineLevel="0" collapsed="false">
      <c r="E307" s="41"/>
      <c r="F307" s="41"/>
    </row>
    <row r="308" customFormat="false" ht="15" hidden="false" customHeight="false" outlineLevel="0" collapsed="false">
      <c r="E308" s="41"/>
      <c r="F308" s="41"/>
    </row>
    <row r="309" customFormat="false" ht="15" hidden="false" customHeight="false" outlineLevel="0" collapsed="false">
      <c r="E309" s="41"/>
      <c r="F309" s="41"/>
    </row>
    <row r="310" customFormat="false" ht="15" hidden="false" customHeight="false" outlineLevel="0" collapsed="false">
      <c r="E310" s="41"/>
      <c r="F310" s="41"/>
    </row>
    <row r="311" customFormat="false" ht="15" hidden="false" customHeight="false" outlineLevel="0" collapsed="false">
      <c r="E311" s="41"/>
      <c r="F311" s="41"/>
    </row>
    <row r="312" customFormat="false" ht="15" hidden="false" customHeight="false" outlineLevel="0" collapsed="false">
      <c r="E312" s="41"/>
      <c r="F312" s="41"/>
    </row>
    <row r="313" customFormat="false" ht="15" hidden="false" customHeight="false" outlineLevel="0" collapsed="false">
      <c r="E313" s="41"/>
      <c r="F313" s="41"/>
    </row>
    <row r="314" customFormat="false" ht="15" hidden="false" customHeight="false" outlineLevel="0" collapsed="false">
      <c r="E314" s="41"/>
      <c r="F314" s="41"/>
    </row>
    <row r="315" customFormat="false" ht="15" hidden="false" customHeight="false" outlineLevel="0" collapsed="false">
      <c r="E315" s="41"/>
      <c r="F315" s="41"/>
    </row>
    <row r="316" customFormat="false" ht="15" hidden="false" customHeight="false" outlineLevel="0" collapsed="false">
      <c r="E316" s="41"/>
      <c r="F316" s="41"/>
    </row>
    <row r="317" customFormat="false" ht="15" hidden="false" customHeight="false" outlineLevel="0" collapsed="false">
      <c r="E317" s="41"/>
      <c r="F317" s="41"/>
    </row>
    <row r="318" customFormat="false" ht="15" hidden="false" customHeight="false" outlineLevel="0" collapsed="false">
      <c r="E318" s="41"/>
      <c r="F318" s="41"/>
    </row>
    <row r="319" customFormat="false" ht="15" hidden="false" customHeight="false" outlineLevel="0" collapsed="false">
      <c r="E319" s="41"/>
      <c r="F319" s="41"/>
    </row>
    <row r="320" customFormat="false" ht="15" hidden="false" customHeight="false" outlineLevel="0" collapsed="false">
      <c r="E320" s="41"/>
      <c r="F320" s="41"/>
    </row>
    <row r="321" customFormat="false" ht="15" hidden="false" customHeight="false" outlineLevel="0" collapsed="false">
      <c r="E321" s="41"/>
      <c r="F321" s="41"/>
    </row>
    <row r="322" customFormat="false" ht="15" hidden="false" customHeight="false" outlineLevel="0" collapsed="false">
      <c r="E322" s="41"/>
      <c r="F322" s="41"/>
    </row>
    <row r="323" customFormat="false" ht="15" hidden="false" customHeight="false" outlineLevel="0" collapsed="false">
      <c r="E323" s="41"/>
      <c r="F323" s="41"/>
    </row>
    <row r="324" customFormat="false" ht="15" hidden="false" customHeight="false" outlineLevel="0" collapsed="false">
      <c r="E324" s="41"/>
      <c r="F324" s="41"/>
    </row>
    <row r="325" customFormat="false" ht="15" hidden="false" customHeight="false" outlineLevel="0" collapsed="false">
      <c r="E325" s="41"/>
      <c r="F325" s="41"/>
    </row>
    <row r="326" customFormat="false" ht="15" hidden="false" customHeight="false" outlineLevel="0" collapsed="false">
      <c r="E326" s="41"/>
      <c r="F326" s="41"/>
    </row>
    <row r="327" customFormat="false" ht="15" hidden="false" customHeight="false" outlineLevel="0" collapsed="false">
      <c r="E327" s="41"/>
      <c r="F327" s="41"/>
    </row>
    <row r="328" customFormat="false" ht="15" hidden="false" customHeight="false" outlineLevel="0" collapsed="false">
      <c r="E328" s="41"/>
      <c r="F328" s="41"/>
    </row>
    <row r="329" customFormat="false" ht="15" hidden="false" customHeight="false" outlineLevel="0" collapsed="false">
      <c r="E329" s="41"/>
      <c r="F329" s="41"/>
    </row>
    <row r="330" customFormat="false" ht="15" hidden="false" customHeight="false" outlineLevel="0" collapsed="false">
      <c r="E330" s="41"/>
      <c r="F330" s="41"/>
    </row>
    <row r="331" customFormat="false" ht="15" hidden="false" customHeight="false" outlineLevel="0" collapsed="false">
      <c r="E331" s="41"/>
      <c r="F331" s="41"/>
    </row>
    <row r="332" customFormat="false" ht="15" hidden="false" customHeight="false" outlineLevel="0" collapsed="false">
      <c r="E332" s="41"/>
      <c r="F332" s="41"/>
    </row>
    <row r="333" customFormat="false" ht="15" hidden="false" customHeight="false" outlineLevel="0" collapsed="false">
      <c r="E333" s="41"/>
      <c r="F333" s="41"/>
    </row>
    <row r="334" customFormat="false" ht="15" hidden="false" customHeight="false" outlineLevel="0" collapsed="false">
      <c r="E334" s="41"/>
      <c r="F334" s="41"/>
    </row>
    <row r="335" customFormat="false" ht="15" hidden="false" customHeight="false" outlineLevel="0" collapsed="false">
      <c r="E335" s="41"/>
      <c r="F335" s="41"/>
    </row>
    <row r="336" customFormat="false" ht="15" hidden="false" customHeight="false" outlineLevel="0" collapsed="false">
      <c r="E336" s="41"/>
      <c r="F336" s="41"/>
    </row>
    <row r="337" customFormat="false" ht="15" hidden="false" customHeight="false" outlineLevel="0" collapsed="false">
      <c r="E337" s="41"/>
      <c r="F337" s="41"/>
    </row>
    <row r="338" customFormat="false" ht="15" hidden="false" customHeight="false" outlineLevel="0" collapsed="false">
      <c r="E338" s="41"/>
      <c r="F338" s="41"/>
    </row>
    <row r="339" customFormat="false" ht="15" hidden="false" customHeight="false" outlineLevel="0" collapsed="false">
      <c r="E339" s="41"/>
      <c r="F339" s="41"/>
    </row>
    <row r="340" customFormat="false" ht="15" hidden="false" customHeight="false" outlineLevel="0" collapsed="false">
      <c r="E340" s="41"/>
      <c r="F340" s="41"/>
    </row>
    <row r="341" customFormat="false" ht="15" hidden="false" customHeight="false" outlineLevel="0" collapsed="false">
      <c r="E341" s="41"/>
      <c r="F341" s="41"/>
    </row>
    <row r="342" customFormat="false" ht="15" hidden="false" customHeight="false" outlineLevel="0" collapsed="false">
      <c r="E342" s="41"/>
      <c r="F342" s="41"/>
    </row>
    <row r="343" customFormat="false" ht="15" hidden="false" customHeight="false" outlineLevel="0" collapsed="false">
      <c r="E343" s="41"/>
      <c r="F343" s="41"/>
    </row>
    <row r="344" customFormat="false" ht="15" hidden="false" customHeight="false" outlineLevel="0" collapsed="false">
      <c r="E344" s="41"/>
      <c r="F344" s="41"/>
    </row>
    <row r="345" customFormat="false" ht="15" hidden="false" customHeight="false" outlineLevel="0" collapsed="false">
      <c r="E345" s="41"/>
      <c r="F345" s="41"/>
    </row>
    <row r="346" customFormat="false" ht="15" hidden="false" customHeight="false" outlineLevel="0" collapsed="false">
      <c r="E346" s="41"/>
      <c r="F346" s="41"/>
    </row>
    <row r="347" customFormat="false" ht="15" hidden="false" customHeight="false" outlineLevel="0" collapsed="false">
      <c r="E347" s="41"/>
      <c r="F347" s="41"/>
    </row>
    <row r="348" customFormat="false" ht="15" hidden="false" customHeight="false" outlineLevel="0" collapsed="false">
      <c r="E348" s="41"/>
      <c r="F348" s="41"/>
    </row>
    <row r="349" customFormat="false" ht="15" hidden="false" customHeight="false" outlineLevel="0" collapsed="false">
      <c r="E349" s="41"/>
      <c r="F349" s="41"/>
    </row>
    <row r="350" customFormat="false" ht="15" hidden="false" customHeight="false" outlineLevel="0" collapsed="false">
      <c r="E350" s="41"/>
      <c r="F350" s="41"/>
    </row>
    <row r="351" customFormat="false" ht="15" hidden="false" customHeight="false" outlineLevel="0" collapsed="false">
      <c r="E351" s="41"/>
      <c r="F351" s="41"/>
    </row>
    <row r="352" customFormat="false" ht="15" hidden="false" customHeight="false" outlineLevel="0" collapsed="false">
      <c r="E352" s="41"/>
      <c r="F352" s="41"/>
    </row>
    <row r="353" customFormat="false" ht="15" hidden="false" customHeight="false" outlineLevel="0" collapsed="false">
      <c r="E353" s="41"/>
      <c r="F353" s="41"/>
    </row>
    <row r="354" customFormat="false" ht="15" hidden="false" customHeight="false" outlineLevel="0" collapsed="false">
      <c r="E354" s="41"/>
      <c r="F354" s="41"/>
    </row>
    <row r="355" customFormat="false" ht="15" hidden="false" customHeight="false" outlineLevel="0" collapsed="false">
      <c r="E355" s="41"/>
      <c r="F355" s="41"/>
    </row>
    <row r="356" customFormat="false" ht="15" hidden="false" customHeight="false" outlineLevel="0" collapsed="false">
      <c r="E356" s="41"/>
      <c r="F356" s="41"/>
    </row>
    <row r="357" customFormat="false" ht="15" hidden="false" customHeight="false" outlineLevel="0" collapsed="false">
      <c r="E357" s="41"/>
      <c r="F357" s="41"/>
    </row>
    <row r="358" customFormat="false" ht="15" hidden="false" customHeight="false" outlineLevel="0" collapsed="false">
      <c r="E358" s="41"/>
      <c r="F358" s="41"/>
    </row>
    <row r="359" customFormat="false" ht="15" hidden="false" customHeight="false" outlineLevel="0" collapsed="false">
      <c r="E359" s="41"/>
      <c r="F359" s="41"/>
    </row>
    <row r="360" customFormat="false" ht="15" hidden="false" customHeight="false" outlineLevel="0" collapsed="false">
      <c r="E360" s="41"/>
      <c r="F360" s="41"/>
    </row>
    <row r="361" customFormat="false" ht="15" hidden="false" customHeight="false" outlineLevel="0" collapsed="false">
      <c r="E361" s="41"/>
      <c r="F361" s="41"/>
    </row>
    <row r="362" customFormat="false" ht="15" hidden="false" customHeight="false" outlineLevel="0" collapsed="false">
      <c r="E362" s="41"/>
      <c r="F362" s="41"/>
    </row>
    <row r="363" customFormat="false" ht="15" hidden="false" customHeight="false" outlineLevel="0" collapsed="false">
      <c r="E363" s="41"/>
      <c r="F363" s="41"/>
    </row>
    <row r="364" customFormat="false" ht="15" hidden="false" customHeight="false" outlineLevel="0" collapsed="false">
      <c r="E364" s="41"/>
      <c r="F364" s="41"/>
    </row>
    <row r="365" customFormat="false" ht="15" hidden="false" customHeight="false" outlineLevel="0" collapsed="false">
      <c r="E365" s="41"/>
      <c r="F365" s="41"/>
    </row>
    <row r="366" customFormat="false" ht="15" hidden="false" customHeight="false" outlineLevel="0" collapsed="false">
      <c r="E366" s="41"/>
      <c r="F366" s="41"/>
    </row>
    <row r="367" customFormat="false" ht="15" hidden="false" customHeight="false" outlineLevel="0" collapsed="false">
      <c r="E367" s="41"/>
      <c r="F367" s="41"/>
    </row>
    <row r="368" customFormat="false" ht="15" hidden="false" customHeight="false" outlineLevel="0" collapsed="false">
      <c r="E368" s="41"/>
      <c r="F368" s="41"/>
    </row>
    <row r="369" customFormat="false" ht="15" hidden="false" customHeight="false" outlineLevel="0" collapsed="false">
      <c r="E369" s="41"/>
      <c r="F369" s="41"/>
    </row>
    <row r="370" customFormat="false" ht="15" hidden="false" customHeight="false" outlineLevel="0" collapsed="false">
      <c r="E370" s="41"/>
      <c r="F370" s="41"/>
    </row>
    <row r="371" customFormat="false" ht="15" hidden="false" customHeight="false" outlineLevel="0" collapsed="false">
      <c r="E371" s="41"/>
      <c r="F371" s="41"/>
    </row>
    <row r="372" customFormat="false" ht="15" hidden="false" customHeight="false" outlineLevel="0" collapsed="false">
      <c r="E372" s="41"/>
      <c r="F372" s="41"/>
    </row>
    <row r="373" customFormat="false" ht="15" hidden="false" customHeight="false" outlineLevel="0" collapsed="false">
      <c r="E373" s="41"/>
      <c r="F373" s="41"/>
    </row>
    <row r="374" customFormat="false" ht="15" hidden="false" customHeight="false" outlineLevel="0" collapsed="false">
      <c r="E374" s="41"/>
      <c r="F374" s="41"/>
    </row>
    <row r="375" customFormat="false" ht="15" hidden="false" customHeight="false" outlineLevel="0" collapsed="false">
      <c r="E375" s="41"/>
      <c r="F375" s="41"/>
    </row>
    <row r="376" customFormat="false" ht="15" hidden="false" customHeight="false" outlineLevel="0" collapsed="false">
      <c r="E376" s="41"/>
      <c r="F376" s="41"/>
    </row>
    <row r="377" customFormat="false" ht="15" hidden="false" customHeight="false" outlineLevel="0" collapsed="false">
      <c r="E377" s="41"/>
      <c r="F377" s="41"/>
    </row>
    <row r="378" customFormat="false" ht="15" hidden="false" customHeight="false" outlineLevel="0" collapsed="false">
      <c r="E378" s="41"/>
      <c r="F378" s="41"/>
    </row>
    <row r="379" customFormat="false" ht="15" hidden="false" customHeight="false" outlineLevel="0" collapsed="false">
      <c r="E379" s="41"/>
      <c r="F379" s="41"/>
    </row>
    <row r="380" customFormat="false" ht="15" hidden="false" customHeight="false" outlineLevel="0" collapsed="false">
      <c r="E380" s="41"/>
      <c r="F380" s="41"/>
    </row>
    <row r="381" customFormat="false" ht="15" hidden="false" customHeight="false" outlineLevel="0" collapsed="false">
      <c r="E381" s="41"/>
      <c r="F381" s="41"/>
    </row>
    <row r="382" customFormat="false" ht="15" hidden="false" customHeight="false" outlineLevel="0" collapsed="false">
      <c r="E382" s="41"/>
      <c r="F382" s="41"/>
    </row>
    <row r="383" customFormat="false" ht="15" hidden="false" customHeight="false" outlineLevel="0" collapsed="false">
      <c r="E383" s="41"/>
      <c r="F383" s="41"/>
    </row>
    <row r="384" customFormat="false" ht="15" hidden="false" customHeight="false" outlineLevel="0" collapsed="false">
      <c r="E384" s="41"/>
      <c r="F384" s="41"/>
    </row>
    <row r="385" customFormat="false" ht="15" hidden="false" customHeight="false" outlineLevel="0" collapsed="false">
      <c r="E385" s="41"/>
      <c r="F385" s="41"/>
    </row>
    <row r="386" customFormat="false" ht="15" hidden="false" customHeight="false" outlineLevel="0" collapsed="false">
      <c r="E386" s="41"/>
      <c r="F386" s="41"/>
    </row>
    <row r="387" customFormat="false" ht="15" hidden="false" customHeight="false" outlineLevel="0" collapsed="false">
      <c r="E387" s="41"/>
      <c r="F387" s="41"/>
    </row>
    <row r="388" customFormat="false" ht="15" hidden="false" customHeight="false" outlineLevel="0" collapsed="false">
      <c r="E388" s="41"/>
      <c r="F388" s="41"/>
    </row>
    <row r="389" customFormat="false" ht="15" hidden="false" customHeight="false" outlineLevel="0" collapsed="false">
      <c r="E389" s="41"/>
      <c r="F389" s="41"/>
    </row>
    <row r="390" customFormat="false" ht="15" hidden="false" customHeight="false" outlineLevel="0" collapsed="false">
      <c r="E390" s="41"/>
      <c r="F390" s="41"/>
    </row>
    <row r="391" customFormat="false" ht="15" hidden="false" customHeight="false" outlineLevel="0" collapsed="false">
      <c r="E391" s="41"/>
      <c r="F391" s="41"/>
    </row>
    <row r="392" customFormat="false" ht="15" hidden="false" customHeight="false" outlineLevel="0" collapsed="false">
      <c r="E392" s="41"/>
      <c r="F392" s="41"/>
    </row>
    <row r="393" customFormat="false" ht="15" hidden="false" customHeight="false" outlineLevel="0" collapsed="false">
      <c r="E393" s="41"/>
      <c r="F393" s="41"/>
    </row>
    <row r="394" customFormat="false" ht="15" hidden="false" customHeight="false" outlineLevel="0" collapsed="false">
      <c r="E394" s="41"/>
      <c r="F394" s="41"/>
    </row>
    <row r="395" customFormat="false" ht="15" hidden="false" customHeight="false" outlineLevel="0" collapsed="false">
      <c r="E395" s="41"/>
      <c r="F395" s="41"/>
    </row>
    <row r="396" customFormat="false" ht="15" hidden="false" customHeight="false" outlineLevel="0" collapsed="false">
      <c r="E396" s="41"/>
      <c r="F396" s="41"/>
    </row>
    <row r="397" customFormat="false" ht="15" hidden="false" customHeight="false" outlineLevel="0" collapsed="false">
      <c r="E397" s="41"/>
      <c r="F397" s="41"/>
    </row>
    <row r="398" customFormat="false" ht="15" hidden="false" customHeight="false" outlineLevel="0" collapsed="false">
      <c r="E398" s="41"/>
      <c r="F398" s="41"/>
    </row>
    <row r="399" customFormat="false" ht="15" hidden="false" customHeight="false" outlineLevel="0" collapsed="false">
      <c r="E399" s="41"/>
      <c r="F399" s="41"/>
    </row>
    <row r="400" customFormat="false" ht="15" hidden="false" customHeight="false" outlineLevel="0" collapsed="false">
      <c r="E400" s="41"/>
      <c r="F400" s="41"/>
    </row>
    <row r="401" customFormat="false" ht="15" hidden="false" customHeight="false" outlineLevel="0" collapsed="false">
      <c r="E401" s="41"/>
      <c r="F401" s="41"/>
    </row>
    <row r="402" customFormat="false" ht="15" hidden="false" customHeight="false" outlineLevel="0" collapsed="false">
      <c r="E402" s="41"/>
      <c r="F402" s="41"/>
    </row>
    <row r="403" customFormat="false" ht="15" hidden="false" customHeight="false" outlineLevel="0" collapsed="false">
      <c r="E403" s="41"/>
      <c r="F403" s="41"/>
    </row>
    <row r="404" customFormat="false" ht="15" hidden="false" customHeight="false" outlineLevel="0" collapsed="false">
      <c r="E404" s="41"/>
      <c r="F404" s="41"/>
    </row>
    <row r="405" customFormat="false" ht="15" hidden="false" customHeight="false" outlineLevel="0" collapsed="false">
      <c r="E405" s="41"/>
      <c r="F405" s="41"/>
    </row>
    <row r="406" customFormat="false" ht="15" hidden="false" customHeight="false" outlineLevel="0" collapsed="false">
      <c r="E406" s="41"/>
      <c r="F406" s="41"/>
    </row>
    <row r="407" customFormat="false" ht="15" hidden="false" customHeight="false" outlineLevel="0" collapsed="false">
      <c r="E407" s="41"/>
      <c r="F407" s="41"/>
    </row>
    <row r="408" customFormat="false" ht="15" hidden="false" customHeight="false" outlineLevel="0" collapsed="false">
      <c r="E408" s="41"/>
      <c r="F408" s="41"/>
    </row>
    <row r="409" customFormat="false" ht="15" hidden="false" customHeight="false" outlineLevel="0" collapsed="false">
      <c r="E409" s="41"/>
      <c r="F409" s="41"/>
    </row>
    <row r="410" customFormat="false" ht="15" hidden="false" customHeight="false" outlineLevel="0" collapsed="false">
      <c r="E410" s="41"/>
      <c r="F410" s="41"/>
    </row>
    <row r="411" customFormat="false" ht="15" hidden="false" customHeight="false" outlineLevel="0" collapsed="false">
      <c r="E411" s="41"/>
      <c r="F411" s="41"/>
    </row>
    <row r="412" customFormat="false" ht="15" hidden="false" customHeight="false" outlineLevel="0" collapsed="false">
      <c r="E412" s="41"/>
      <c r="F412" s="41"/>
    </row>
    <row r="413" customFormat="false" ht="15" hidden="false" customHeight="false" outlineLevel="0" collapsed="false">
      <c r="E413" s="41"/>
      <c r="F413" s="41"/>
    </row>
    <row r="414" customFormat="false" ht="15" hidden="false" customHeight="false" outlineLevel="0" collapsed="false">
      <c r="E414" s="41"/>
      <c r="F414" s="41"/>
    </row>
    <row r="415" customFormat="false" ht="15" hidden="false" customHeight="false" outlineLevel="0" collapsed="false">
      <c r="E415" s="41"/>
      <c r="F415" s="41"/>
    </row>
    <row r="416" customFormat="false" ht="15" hidden="false" customHeight="false" outlineLevel="0" collapsed="false">
      <c r="E416" s="41"/>
      <c r="F416" s="41"/>
    </row>
    <row r="417" customFormat="false" ht="15" hidden="false" customHeight="false" outlineLevel="0" collapsed="false">
      <c r="E417" s="41"/>
      <c r="F417" s="41"/>
    </row>
    <row r="418" customFormat="false" ht="15" hidden="false" customHeight="false" outlineLevel="0" collapsed="false">
      <c r="E418" s="41"/>
      <c r="F418" s="41"/>
    </row>
    <row r="419" customFormat="false" ht="15" hidden="false" customHeight="false" outlineLevel="0" collapsed="false">
      <c r="E419" s="41"/>
      <c r="F419" s="41"/>
    </row>
    <row r="420" customFormat="false" ht="15" hidden="false" customHeight="false" outlineLevel="0" collapsed="false">
      <c r="E420" s="41"/>
      <c r="F420" s="41"/>
    </row>
    <row r="421" customFormat="false" ht="15" hidden="false" customHeight="false" outlineLevel="0" collapsed="false">
      <c r="E421" s="41"/>
      <c r="F421" s="41"/>
    </row>
    <row r="422" customFormat="false" ht="15" hidden="false" customHeight="false" outlineLevel="0" collapsed="false">
      <c r="E422" s="41"/>
      <c r="F422" s="41"/>
    </row>
    <row r="423" customFormat="false" ht="15" hidden="false" customHeight="false" outlineLevel="0" collapsed="false">
      <c r="E423" s="41"/>
      <c r="F423" s="41"/>
    </row>
    <row r="424" customFormat="false" ht="15" hidden="false" customHeight="false" outlineLevel="0" collapsed="false">
      <c r="E424" s="41"/>
      <c r="F424" s="41"/>
    </row>
    <row r="425" customFormat="false" ht="15" hidden="false" customHeight="false" outlineLevel="0" collapsed="false">
      <c r="E425" s="41"/>
      <c r="F425" s="41"/>
    </row>
    <row r="426" customFormat="false" ht="15" hidden="false" customHeight="false" outlineLevel="0" collapsed="false">
      <c r="E426" s="41"/>
      <c r="F426" s="41"/>
    </row>
    <row r="427" customFormat="false" ht="15" hidden="false" customHeight="false" outlineLevel="0" collapsed="false">
      <c r="E427" s="41"/>
      <c r="F427" s="41"/>
    </row>
    <row r="428" customFormat="false" ht="15" hidden="false" customHeight="false" outlineLevel="0" collapsed="false">
      <c r="E428" s="41"/>
      <c r="F428" s="41"/>
    </row>
    <row r="429" customFormat="false" ht="15" hidden="false" customHeight="false" outlineLevel="0" collapsed="false">
      <c r="E429" s="41"/>
      <c r="F429" s="41"/>
    </row>
    <row r="430" customFormat="false" ht="15" hidden="false" customHeight="false" outlineLevel="0" collapsed="false">
      <c r="E430" s="41"/>
      <c r="F430" s="41"/>
    </row>
    <row r="431" customFormat="false" ht="15" hidden="false" customHeight="false" outlineLevel="0" collapsed="false">
      <c r="E431" s="41"/>
      <c r="F431" s="41"/>
    </row>
    <row r="432" customFormat="false" ht="15" hidden="false" customHeight="false" outlineLevel="0" collapsed="false">
      <c r="E432" s="41"/>
      <c r="F432" s="41"/>
    </row>
    <row r="433" customFormat="false" ht="15" hidden="false" customHeight="false" outlineLevel="0" collapsed="false">
      <c r="E433" s="41"/>
      <c r="F433" s="41"/>
    </row>
    <row r="434" customFormat="false" ht="15" hidden="false" customHeight="false" outlineLevel="0" collapsed="false">
      <c r="E434" s="41"/>
      <c r="F434" s="41"/>
    </row>
    <row r="435" customFormat="false" ht="15" hidden="false" customHeight="false" outlineLevel="0" collapsed="false">
      <c r="E435" s="41"/>
      <c r="F435" s="41"/>
    </row>
    <row r="436" customFormat="false" ht="15" hidden="false" customHeight="false" outlineLevel="0" collapsed="false">
      <c r="E436" s="41"/>
      <c r="F436" s="41"/>
    </row>
    <row r="437" customFormat="false" ht="15" hidden="false" customHeight="false" outlineLevel="0" collapsed="false">
      <c r="E437" s="41"/>
      <c r="F437" s="41"/>
    </row>
    <row r="438" customFormat="false" ht="15" hidden="false" customHeight="false" outlineLevel="0" collapsed="false">
      <c r="E438" s="41"/>
      <c r="F438" s="41"/>
    </row>
    <row r="439" customFormat="false" ht="15" hidden="false" customHeight="false" outlineLevel="0" collapsed="false">
      <c r="E439" s="41"/>
      <c r="F439" s="41"/>
    </row>
    <row r="440" customFormat="false" ht="15" hidden="false" customHeight="false" outlineLevel="0" collapsed="false">
      <c r="E440" s="41"/>
      <c r="F440" s="41"/>
    </row>
    <row r="441" customFormat="false" ht="15" hidden="false" customHeight="false" outlineLevel="0" collapsed="false">
      <c r="E441" s="41"/>
      <c r="F441" s="41"/>
    </row>
    <row r="442" customFormat="false" ht="15" hidden="false" customHeight="false" outlineLevel="0" collapsed="false">
      <c r="E442" s="41"/>
      <c r="F442" s="41"/>
    </row>
    <row r="443" customFormat="false" ht="15" hidden="false" customHeight="false" outlineLevel="0" collapsed="false">
      <c r="E443" s="41"/>
      <c r="F443" s="41"/>
    </row>
    <row r="444" customFormat="false" ht="15" hidden="false" customHeight="false" outlineLevel="0" collapsed="false">
      <c r="E444" s="41"/>
      <c r="F444" s="41"/>
    </row>
    <row r="445" customFormat="false" ht="15" hidden="false" customHeight="false" outlineLevel="0" collapsed="false">
      <c r="E445" s="41"/>
      <c r="F445" s="41"/>
    </row>
    <row r="446" customFormat="false" ht="15" hidden="false" customHeight="false" outlineLevel="0" collapsed="false">
      <c r="E446" s="41"/>
      <c r="F446" s="41"/>
    </row>
    <row r="447" customFormat="false" ht="15" hidden="false" customHeight="false" outlineLevel="0" collapsed="false">
      <c r="E447" s="41"/>
      <c r="F447" s="41"/>
    </row>
    <row r="448" customFormat="false" ht="15" hidden="false" customHeight="false" outlineLevel="0" collapsed="false">
      <c r="E448" s="41"/>
      <c r="F448" s="41"/>
    </row>
    <row r="449" customFormat="false" ht="15" hidden="false" customHeight="false" outlineLevel="0" collapsed="false">
      <c r="E449" s="41"/>
      <c r="F449" s="41"/>
    </row>
    <row r="450" customFormat="false" ht="15" hidden="false" customHeight="false" outlineLevel="0" collapsed="false">
      <c r="E450" s="41"/>
      <c r="F450" s="41"/>
    </row>
    <row r="451" customFormat="false" ht="15" hidden="false" customHeight="false" outlineLevel="0" collapsed="false">
      <c r="E451" s="41"/>
      <c r="F451" s="41"/>
    </row>
    <row r="452" customFormat="false" ht="15" hidden="false" customHeight="false" outlineLevel="0" collapsed="false">
      <c r="E452" s="41"/>
      <c r="F452" s="41"/>
    </row>
    <row r="453" customFormat="false" ht="15" hidden="false" customHeight="false" outlineLevel="0" collapsed="false">
      <c r="E453" s="41"/>
      <c r="F453" s="41"/>
    </row>
    <row r="454" customFormat="false" ht="15" hidden="false" customHeight="false" outlineLevel="0" collapsed="false">
      <c r="E454" s="41"/>
      <c r="F454" s="41"/>
    </row>
    <row r="455" customFormat="false" ht="15" hidden="false" customHeight="false" outlineLevel="0" collapsed="false">
      <c r="E455" s="41"/>
      <c r="F455" s="41"/>
    </row>
    <row r="456" customFormat="false" ht="15" hidden="false" customHeight="false" outlineLevel="0" collapsed="false">
      <c r="E456" s="41"/>
      <c r="F456" s="41"/>
    </row>
    <row r="457" customFormat="false" ht="15" hidden="false" customHeight="false" outlineLevel="0" collapsed="false">
      <c r="E457" s="41"/>
      <c r="F457" s="41"/>
    </row>
    <row r="458" customFormat="false" ht="15" hidden="false" customHeight="false" outlineLevel="0" collapsed="false">
      <c r="E458" s="41"/>
      <c r="F458" s="41"/>
    </row>
    <row r="459" customFormat="false" ht="15" hidden="false" customHeight="false" outlineLevel="0" collapsed="false">
      <c r="E459" s="41"/>
      <c r="F459" s="41"/>
    </row>
    <row r="460" customFormat="false" ht="15" hidden="false" customHeight="false" outlineLevel="0" collapsed="false">
      <c r="E460" s="41"/>
      <c r="F460" s="41"/>
    </row>
    <row r="461" customFormat="false" ht="15" hidden="false" customHeight="false" outlineLevel="0" collapsed="false">
      <c r="E461" s="41"/>
      <c r="F461" s="41"/>
    </row>
    <row r="462" customFormat="false" ht="15" hidden="false" customHeight="false" outlineLevel="0" collapsed="false">
      <c r="E462" s="41"/>
      <c r="F462" s="41"/>
    </row>
    <row r="463" customFormat="false" ht="15" hidden="false" customHeight="false" outlineLevel="0" collapsed="false">
      <c r="E463" s="41"/>
      <c r="F463" s="41"/>
    </row>
    <row r="464" customFormat="false" ht="15" hidden="false" customHeight="false" outlineLevel="0" collapsed="false">
      <c r="E464" s="41"/>
      <c r="F464" s="41"/>
    </row>
    <row r="465" customFormat="false" ht="15" hidden="false" customHeight="false" outlineLevel="0" collapsed="false">
      <c r="E465" s="41"/>
      <c r="F465" s="41"/>
    </row>
    <row r="466" customFormat="false" ht="15" hidden="false" customHeight="false" outlineLevel="0" collapsed="false">
      <c r="E466" s="41"/>
      <c r="F466" s="41"/>
    </row>
    <row r="467" customFormat="false" ht="15" hidden="false" customHeight="false" outlineLevel="0" collapsed="false">
      <c r="E467" s="41"/>
      <c r="F467" s="41"/>
    </row>
    <row r="468" customFormat="false" ht="15" hidden="false" customHeight="false" outlineLevel="0" collapsed="false">
      <c r="E468" s="41"/>
      <c r="F468" s="41"/>
    </row>
    <row r="469" customFormat="false" ht="15" hidden="false" customHeight="false" outlineLevel="0" collapsed="false">
      <c r="E469" s="41"/>
      <c r="F469" s="41"/>
    </row>
    <row r="470" customFormat="false" ht="15" hidden="false" customHeight="false" outlineLevel="0" collapsed="false">
      <c r="E470" s="41"/>
      <c r="F470" s="41"/>
    </row>
    <row r="471" customFormat="false" ht="15" hidden="false" customHeight="false" outlineLevel="0" collapsed="false">
      <c r="E471" s="41"/>
      <c r="F471" s="41"/>
    </row>
    <row r="472" customFormat="false" ht="15" hidden="false" customHeight="false" outlineLevel="0" collapsed="false">
      <c r="E472" s="41"/>
      <c r="F472" s="41"/>
    </row>
    <row r="473" customFormat="false" ht="15" hidden="false" customHeight="false" outlineLevel="0" collapsed="false">
      <c r="E473" s="41"/>
      <c r="F473" s="41"/>
    </row>
    <row r="474" customFormat="false" ht="15" hidden="false" customHeight="false" outlineLevel="0" collapsed="false">
      <c r="E474" s="41"/>
      <c r="F474" s="41"/>
    </row>
    <row r="475" customFormat="false" ht="15" hidden="false" customHeight="false" outlineLevel="0" collapsed="false">
      <c r="E475" s="41"/>
      <c r="F475" s="41"/>
    </row>
    <row r="476" customFormat="false" ht="15" hidden="false" customHeight="false" outlineLevel="0" collapsed="false">
      <c r="E476" s="41"/>
      <c r="F476" s="41"/>
    </row>
    <row r="477" customFormat="false" ht="15" hidden="false" customHeight="false" outlineLevel="0" collapsed="false">
      <c r="E477" s="41"/>
      <c r="F477" s="41"/>
    </row>
    <row r="478" customFormat="false" ht="15" hidden="false" customHeight="false" outlineLevel="0" collapsed="false">
      <c r="E478" s="41"/>
      <c r="F478" s="41"/>
    </row>
    <row r="479" customFormat="false" ht="15" hidden="false" customHeight="false" outlineLevel="0" collapsed="false">
      <c r="E479" s="41"/>
      <c r="F479" s="41"/>
    </row>
    <row r="480" customFormat="false" ht="15" hidden="false" customHeight="false" outlineLevel="0" collapsed="false">
      <c r="E480" s="41"/>
      <c r="F480" s="41"/>
    </row>
    <row r="481" customFormat="false" ht="15" hidden="false" customHeight="false" outlineLevel="0" collapsed="false">
      <c r="E481" s="41"/>
      <c r="F481" s="41"/>
    </row>
    <row r="482" customFormat="false" ht="15" hidden="false" customHeight="false" outlineLevel="0" collapsed="false">
      <c r="E482" s="41"/>
      <c r="F482" s="41"/>
    </row>
    <row r="483" customFormat="false" ht="15" hidden="false" customHeight="false" outlineLevel="0" collapsed="false">
      <c r="E483" s="41"/>
      <c r="F483" s="41"/>
    </row>
    <row r="484" customFormat="false" ht="15" hidden="false" customHeight="false" outlineLevel="0" collapsed="false">
      <c r="E484" s="41"/>
      <c r="F484" s="41"/>
    </row>
    <row r="485" customFormat="false" ht="15" hidden="false" customHeight="false" outlineLevel="0" collapsed="false">
      <c r="E485" s="41"/>
      <c r="F485" s="41"/>
    </row>
    <row r="486" customFormat="false" ht="15" hidden="false" customHeight="false" outlineLevel="0" collapsed="false">
      <c r="E486" s="41"/>
      <c r="F486" s="41"/>
    </row>
    <row r="487" customFormat="false" ht="15" hidden="false" customHeight="false" outlineLevel="0" collapsed="false">
      <c r="E487" s="41"/>
      <c r="F487" s="41"/>
    </row>
    <row r="488" customFormat="false" ht="15" hidden="false" customHeight="false" outlineLevel="0" collapsed="false">
      <c r="E488" s="41"/>
      <c r="F488" s="41"/>
    </row>
    <row r="489" customFormat="false" ht="15" hidden="false" customHeight="false" outlineLevel="0" collapsed="false">
      <c r="E489" s="41"/>
      <c r="F489" s="41"/>
    </row>
    <row r="490" customFormat="false" ht="15" hidden="false" customHeight="false" outlineLevel="0" collapsed="false">
      <c r="E490" s="41"/>
      <c r="F490" s="41"/>
    </row>
    <row r="491" customFormat="false" ht="15" hidden="false" customHeight="false" outlineLevel="0" collapsed="false">
      <c r="E491" s="41"/>
      <c r="F491" s="41"/>
    </row>
    <row r="492" customFormat="false" ht="15" hidden="false" customHeight="false" outlineLevel="0" collapsed="false">
      <c r="E492" s="41"/>
      <c r="F492" s="41"/>
    </row>
    <row r="493" customFormat="false" ht="15" hidden="false" customHeight="false" outlineLevel="0" collapsed="false">
      <c r="E493" s="41"/>
      <c r="F493" s="41"/>
    </row>
    <row r="494" customFormat="false" ht="15" hidden="false" customHeight="false" outlineLevel="0" collapsed="false">
      <c r="E494" s="41"/>
      <c r="F494" s="41"/>
    </row>
    <row r="495" customFormat="false" ht="15" hidden="false" customHeight="false" outlineLevel="0" collapsed="false">
      <c r="E495" s="41"/>
      <c r="F495" s="41"/>
    </row>
    <row r="496" customFormat="false" ht="15" hidden="false" customHeight="false" outlineLevel="0" collapsed="false">
      <c r="E496" s="41"/>
      <c r="F496" s="41"/>
    </row>
    <row r="497" customFormat="false" ht="15" hidden="false" customHeight="false" outlineLevel="0" collapsed="false">
      <c r="E497" s="41"/>
      <c r="F497" s="41"/>
    </row>
    <row r="498" customFormat="false" ht="15" hidden="false" customHeight="false" outlineLevel="0" collapsed="false">
      <c r="E498" s="41"/>
      <c r="F498" s="41"/>
    </row>
    <row r="499" customFormat="false" ht="15" hidden="false" customHeight="false" outlineLevel="0" collapsed="false">
      <c r="E499" s="41"/>
      <c r="F499" s="41"/>
    </row>
    <row r="500" customFormat="false" ht="15" hidden="false" customHeight="false" outlineLevel="0" collapsed="false">
      <c r="E500" s="41"/>
      <c r="F500" s="41"/>
    </row>
  </sheetData>
  <autoFilter ref="A1:H200"/>
  <dataValidations count="2">
    <dataValidation allowBlank="true" error="Escolha um valor da lista." errorStyle="stop" errorTitle="Valor inválido" operator="equal" showDropDown="false" showErrorMessage="true" showInputMessage="false" sqref="E2:E500" type="list">
      <formula1>"A,B,C,D"</formula1>
      <formula2>0</formula2>
    </dataValidation>
    <dataValidation allowBlank="true" error="Escolha um valor da lista." errorStyle="stop" errorTitle="Valor inválido" operator="equal" showDropDown="false" showErrorMessage="true" showInputMessage="false" sqref="F2:F500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true" outlineLevel="0" max="10" min="10" style="0" width="14"/>
  </cols>
  <sheetData>
    <row r="1" customFormat="false" ht="21.75" hidden="false" customHeight="true" outlineLevel="0" collapsed="false">
      <c r="A1" s="40" t="s">
        <v>45</v>
      </c>
      <c r="B1" s="40" t="s">
        <v>13</v>
      </c>
      <c r="C1" s="40" t="s">
        <v>83</v>
      </c>
      <c r="D1" s="40" t="s">
        <v>35</v>
      </c>
      <c r="E1" s="40" t="s">
        <v>265</v>
      </c>
      <c r="F1" s="40" t="s">
        <v>194</v>
      </c>
      <c r="G1" s="40" t="s">
        <v>16</v>
      </c>
      <c r="H1" s="40" t="s">
        <v>17</v>
      </c>
      <c r="I1" s="40" t="s">
        <v>266</v>
      </c>
      <c r="J1" s="40"/>
    </row>
    <row r="2" customFormat="false" ht="13.8" hidden="false" customHeight="false" outlineLevel="0" collapsed="false">
      <c r="A2" s="0" t="s">
        <v>267</v>
      </c>
      <c r="B2" s="0" t="s">
        <v>102</v>
      </c>
      <c r="C2" s="0" t="s">
        <v>88</v>
      </c>
      <c r="D2" s="41" t="s">
        <v>268</v>
      </c>
      <c r="E2" s="0" t="s">
        <v>259</v>
      </c>
      <c r="F2" s="0" t="s">
        <v>269</v>
      </c>
      <c r="G2" s="0" t="s">
        <v>106</v>
      </c>
      <c r="H2" s="0" t="s">
        <v>101</v>
      </c>
      <c r="I2" s="0" t="s">
        <v>252</v>
      </c>
      <c r="J2" s="0" t="str">
        <f aca="false">IF(OR($B2="",$B2&lt;&gt;PASSAPORTE!$B$4),"",COUNTIF($B$2:$B2,PASSAPORTE!$B$4))</f>
        <v/>
      </c>
    </row>
    <row r="3" customFormat="false" ht="13.8" hidden="false" customHeight="false" outlineLevel="0" collapsed="false">
      <c r="A3" s="0" t="s">
        <v>270</v>
      </c>
      <c r="B3" s="0" t="s">
        <v>102</v>
      </c>
      <c r="C3" s="0" t="s">
        <v>88</v>
      </c>
      <c r="D3" s="41" t="s">
        <v>271</v>
      </c>
      <c r="E3" s="0" t="s">
        <v>127</v>
      </c>
      <c r="F3" s="0" t="s">
        <v>272</v>
      </c>
      <c r="G3" s="0" t="s">
        <v>106</v>
      </c>
      <c r="H3" s="0" t="s">
        <v>101</v>
      </c>
      <c r="I3" s="0" t="s">
        <v>252</v>
      </c>
      <c r="J3" s="0" t="str">
        <f aca="false">IF(OR($B3="",$B3&lt;&gt;PASSAPORTE!$B$4),"",COUNTIF($B$2:$B3,PASSAPORTE!$B$4))</f>
        <v/>
      </c>
    </row>
    <row r="4" customFormat="false" ht="13.8" hidden="false" customHeight="false" outlineLevel="0" collapsed="false">
      <c r="A4" s="0" t="s">
        <v>273</v>
      </c>
      <c r="B4" s="0" t="s">
        <v>102</v>
      </c>
      <c r="C4" s="0" t="s">
        <v>88</v>
      </c>
      <c r="D4" s="41" t="s">
        <v>274</v>
      </c>
      <c r="E4" s="0" t="s">
        <v>245</v>
      </c>
      <c r="F4" s="0" t="s">
        <v>246</v>
      </c>
      <c r="G4" s="0" t="s">
        <v>263</v>
      </c>
      <c r="H4" s="0" t="s">
        <v>198</v>
      </c>
      <c r="I4" s="0" t="s">
        <v>252</v>
      </c>
      <c r="J4" s="0" t="str">
        <f aca="false">IF(OR($B4="",$B4&lt;&gt;PASSAPORTE!$B$4),"",COUNTIF($B$2:$B4,PASSAPORTE!$B$4))</f>
        <v/>
      </c>
    </row>
    <row r="5" customFormat="false" ht="13.8" hidden="false" customHeight="false" outlineLevel="0" collapsed="false">
      <c r="A5" s="0" t="s">
        <v>275</v>
      </c>
      <c r="B5" s="0" t="s">
        <v>111</v>
      </c>
      <c r="C5" s="0" t="s">
        <v>30</v>
      </c>
      <c r="D5" s="41" t="s">
        <v>268</v>
      </c>
      <c r="E5" s="0" t="s">
        <v>254</v>
      </c>
      <c r="F5" s="0" t="s">
        <v>276</v>
      </c>
      <c r="G5" s="0" t="s">
        <v>101</v>
      </c>
      <c r="H5" s="0" t="s">
        <v>110</v>
      </c>
      <c r="I5" s="0" t="s">
        <v>252</v>
      </c>
      <c r="J5" s="0" t="str">
        <f aca="false">IF(OR($B5="",$B5&lt;&gt;PASSAPORTE!$B$4),"",COUNTIF($B$2:$B5,PASSAPORTE!$B$4))</f>
        <v/>
      </c>
    </row>
    <row r="6" customFormat="false" ht="13.8" hidden="false" customHeight="false" outlineLevel="0" collapsed="false">
      <c r="A6" s="0" t="s">
        <v>277</v>
      </c>
      <c r="B6" s="0" t="s">
        <v>115</v>
      </c>
      <c r="C6" s="0" t="s">
        <v>90</v>
      </c>
      <c r="D6" s="41" t="s">
        <v>278</v>
      </c>
      <c r="E6" s="0" t="s">
        <v>251</v>
      </c>
      <c r="F6" s="0" t="s">
        <v>279</v>
      </c>
      <c r="G6" s="0" t="s">
        <v>110</v>
      </c>
      <c r="H6" s="0" t="s">
        <v>114</v>
      </c>
      <c r="I6" s="0" t="s">
        <v>252</v>
      </c>
      <c r="J6" s="0" t="str">
        <f aca="false">IF(OR($B6="",$B6&lt;&gt;PASSAPORTE!$B$4),"",COUNTIF($B$2:$B6,PASSAPORTE!$B$4))</f>
        <v/>
      </c>
    </row>
    <row r="7" customFormat="false" ht="13.8" hidden="false" customHeight="false" outlineLevel="0" collapsed="false">
      <c r="A7" s="0" t="s">
        <v>280</v>
      </c>
      <c r="B7" s="0" t="s">
        <v>118</v>
      </c>
      <c r="C7" s="0" t="s">
        <v>88</v>
      </c>
      <c r="D7" s="41" t="s">
        <v>274</v>
      </c>
      <c r="E7" s="0" t="s">
        <v>202</v>
      </c>
      <c r="F7" s="0" t="s">
        <v>204</v>
      </c>
      <c r="G7" s="0" t="s">
        <v>263</v>
      </c>
      <c r="H7" s="0" t="s">
        <v>198</v>
      </c>
      <c r="I7" s="0" t="s">
        <v>252</v>
      </c>
      <c r="J7" s="0" t="str">
        <f aca="false">IF(OR($B7="",$B7&lt;&gt;PASSAPORTE!$B$4),"",COUNTIF($B$2:$B7,PASSAPORTE!$B$4))</f>
        <v/>
      </c>
    </row>
    <row r="8" customFormat="false" ht="13.8" hidden="false" customHeight="false" outlineLevel="0" collapsed="false">
      <c r="A8" s="0" t="s">
        <v>281</v>
      </c>
      <c r="B8" s="0" t="s">
        <v>209</v>
      </c>
      <c r="C8" s="0" t="s">
        <v>89</v>
      </c>
      <c r="D8" s="41" t="s">
        <v>282</v>
      </c>
      <c r="E8" s="0" t="s">
        <v>206</v>
      </c>
      <c r="F8" s="0" t="s">
        <v>283</v>
      </c>
      <c r="G8" s="0" t="s">
        <v>198</v>
      </c>
      <c r="H8" s="0" t="s">
        <v>208</v>
      </c>
      <c r="I8" s="0" t="s">
        <v>284</v>
      </c>
      <c r="J8" s="0" t="str">
        <f aca="false">IF(OR($B8="",$B8&lt;&gt;PASSAPORTE!$B$4),"",COUNTIF($B$2:$B8,PASSAPORTE!$B$4))</f>
        <v/>
      </c>
    </row>
    <row r="9" customFormat="false" ht="13.8" hidden="false" customHeight="false" outlineLevel="0" collapsed="false">
      <c r="A9" s="0" t="s">
        <v>285</v>
      </c>
      <c r="B9" s="0" t="s">
        <v>262</v>
      </c>
      <c r="C9" s="0" t="s">
        <v>88</v>
      </c>
      <c r="D9" s="41" t="s">
        <v>268</v>
      </c>
      <c r="E9" s="0" t="s">
        <v>261</v>
      </c>
      <c r="F9" s="0" t="s">
        <v>264</v>
      </c>
      <c r="G9" s="0" t="s">
        <v>263</v>
      </c>
      <c r="H9" s="0" t="s">
        <v>106</v>
      </c>
      <c r="I9" s="0" t="s">
        <v>252</v>
      </c>
      <c r="J9" s="0" t="str">
        <f aca="false">IF(OR($B9="",$B9&lt;&gt;PASSAPORTE!$B$4),"",COUNTIF($B$2:$B9,PASSAPORTE!$B$4))</f>
        <v/>
      </c>
    </row>
    <row r="10" customFormat="false" ht="15" hidden="false" customHeight="false" outlineLevel="0" collapsed="false">
      <c r="D10" s="41"/>
    </row>
    <row r="11" customFormat="false" ht="15" hidden="false" customHeight="false" outlineLevel="0" collapsed="false">
      <c r="D11" s="41"/>
    </row>
    <row r="12" customFormat="false" ht="15" hidden="false" customHeight="false" outlineLevel="0" collapsed="false">
      <c r="D12" s="41"/>
    </row>
    <row r="13" customFormat="false" ht="15" hidden="false" customHeight="false" outlineLevel="0" collapsed="false">
      <c r="D13" s="41"/>
    </row>
    <row r="14" customFormat="false" ht="15" hidden="false" customHeight="false" outlineLevel="0" collapsed="false">
      <c r="D14" s="41"/>
    </row>
    <row r="15" customFormat="false" ht="15" hidden="false" customHeight="false" outlineLevel="0" collapsed="false">
      <c r="D15" s="41"/>
    </row>
    <row r="16" customFormat="false" ht="15" hidden="false" customHeight="false" outlineLevel="0" collapsed="false">
      <c r="D16" s="41"/>
    </row>
    <row r="17" customFormat="false" ht="15" hidden="false" customHeight="false" outlineLevel="0" collapsed="false">
      <c r="D17" s="41"/>
    </row>
    <row r="18" customFormat="false" ht="15" hidden="false" customHeight="false" outlineLevel="0" collapsed="false">
      <c r="D18" s="41"/>
    </row>
    <row r="19" customFormat="false" ht="15" hidden="false" customHeight="false" outlineLevel="0" collapsed="false">
      <c r="D19" s="41"/>
    </row>
    <row r="20" customFormat="false" ht="15" hidden="false" customHeight="false" outlineLevel="0" collapsed="false">
      <c r="D20" s="41"/>
    </row>
    <row r="21" customFormat="false" ht="15" hidden="false" customHeight="false" outlineLevel="0" collapsed="false">
      <c r="D21" s="41"/>
    </row>
    <row r="22" customFormat="false" ht="15" hidden="false" customHeight="false" outlineLevel="0" collapsed="false">
      <c r="D22" s="41"/>
    </row>
    <row r="23" customFormat="false" ht="15" hidden="false" customHeight="false" outlineLevel="0" collapsed="false">
      <c r="D23" s="41"/>
    </row>
    <row r="24" customFormat="false" ht="15" hidden="false" customHeight="false" outlineLevel="0" collapsed="false">
      <c r="D24" s="41"/>
    </row>
    <row r="25" customFormat="false" ht="15" hidden="false" customHeight="false" outlineLevel="0" collapsed="false">
      <c r="D25" s="41"/>
    </row>
    <row r="26" customFormat="false" ht="15" hidden="false" customHeight="false" outlineLevel="0" collapsed="false">
      <c r="D26" s="41"/>
    </row>
    <row r="27" customFormat="false" ht="15" hidden="false" customHeight="false" outlineLevel="0" collapsed="false">
      <c r="D27" s="41"/>
    </row>
    <row r="28" customFormat="false" ht="15" hidden="false" customHeight="false" outlineLevel="0" collapsed="false">
      <c r="D28" s="41"/>
    </row>
    <row r="29" customFormat="false" ht="15" hidden="false" customHeight="false" outlineLevel="0" collapsed="false">
      <c r="D29" s="41"/>
    </row>
    <row r="30" customFormat="false" ht="15" hidden="false" customHeight="false" outlineLevel="0" collapsed="false">
      <c r="D30" s="41"/>
    </row>
    <row r="31" customFormat="false" ht="15" hidden="false" customHeight="false" outlineLevel="0" collapsed="false">
      <c r="D31" s="41"/>
    </row>
    <row r="32" customFormat="false" ht="15" hidden="false" customHeight="false" outlineLevel="0" collapsed="false">
      <c r="D32" s="41"/>
    </row>
    <row r="33" customFormat="false" ht="15" hidden="false" customHeight="false" outlineLevel="0" collapsed="false">
      <c r="D33" s="41"/>
    </row>
    <row r="34" customFormat="false" ht="15" hidden="false" customHeight="false" outlineLevel="0" collapsed="false">
      <c r="D34" s="41"/>
    </row>
    <row r="35" customFormat="false" ht="15" hidden="false" customHeight="false" outlineLevel="0" collapsed="false">
      <c r="D35" s="41"/>
    </row>
    <row r="36" customFormat="false" ht="15" hidden="false" customHeight="false" outlineLevel="0" collapsed="false">
      <c r="D36" s="41"/>
    </row>
    <row r="37" customFormat="false" ht="15" hidden="false" customHeight="false" outlineLevel="0" collapsed="false">
      <c r="D37" s="41"/>
    </row>
    <row r="38" customFormat="false" ht="15" hidden="false" customHeight="false" outlineLevel="0" collapsed="false">
      <c r="D38" s="41"/>
    </row>
    <row r="39" customFormat="false" ht="15" hidden="false" customHeight="false" outlineLevel="0" collapsed="false">
      <c r="D39" s="41"/>
    </row>
    <row r="40" customFormat="false" ht="15" hidden="false" customHeight="false" outlineLevel="0" collapsed="false">
      <c r="D40" s="41"/>
    </row>
    <row r="41" customFormat="false" ht="15" hidden="false" customHeight="false" outlineLevel="0" collapsed="false">
      <c r="D41" s="41"/>
    </row>
    <row r="42" customFormat="false" ht="15" hidden="false" customHeight="false" outlineLevel="0" collapsed="false">
      <c r="D42" s="41"/>
    </row>
    <row r="43" customFormat="false" ht="15" hidden="false" customHeight="false" outlineLevel="0" collapsed="false">
      <c r="D43" s="41"/>
    </row>
    <row r="44" customFormat="false" ht="15" hidden="false" customHeight="false" outlineLevel="0" collapsed="false">
      <c r="D44" s="41"/>
    </row>
    <row r="45" customFormat="false" ht="15" hidden="false" customHeight="false" outlineLevel="0" collapsed="false">
      <c r="D45" s="41"/>
    </row>
    <row r="46" customFormat="false" ht="15" hidden="false" customHeight="false" outlineLevel="0" collapsed="false">
      <c r="D46" s="41"/>
    </row>
    <row r="47" customFormat="false" ht="15" hidden="false" customHeight="false" outlineLevel="0" collapsed="false">
      <c r="D47" s="41"/>
    </row>
    <row r="48" customFormat="false" ht="15" hidden="false" customHeight="false" outlineLevel="0" collapsed="false">
      <c r="D48" s="41"/>
    </row>
    <row r="49" customFormat="false" ht="15" hidden="false" customHeight="false" outlineLevel="0" collapsed="false">
      <c r="D49" s="41"/>
    </row>
    <row r="50" customFormat="false" ht="15" hidden="false" customHeight="false" outlineLevel="0" collapsed="false">
      <c r="D50" s="41"/>
    </row>
    <row r="51" customFormat="false" ht="15" hidden="false" customHeight="false" outlineLevel="0" collapsed="false">
      <c r="D51" s="41"/>
    </row>
    <row r="52" customFormat="false" ht="15" hidden="false" customHeight="false" outlineLevel="0" collapsed="false">
      <c r="D52" s="41"/>
    </row>
    <row r="53" customFormat="false" ht="15" hidden="false" customHeight="false" outlineLevel="0" collapsed="false">
      <c r="D53" s="41"/>
    </row>
    <row r="54" customFormat="false" ht="15" hidden="false" customHeight="false" outlineLevel="0" collapsed="false">
      <c r="D54" s="41"/>
    </row>
    <row r="55" customFormat="false" ht="15" hidden="false" customHeight="false" outlineLevel="0" collapsed="false">
      <c r="D55" s="41"/>
    </row>
    <row r="56" customFormat="false" ht="15" hidden="false" customHeight="false" outlineLevel="0" collapsed="false">
      <c r="D56" s="41"/>
    </row>
    <row r="57" customFormat="false" ht="15" hidden="false" customHeight="false" outlineLevel="0" collapsed="false">
      <c r="D57" s="41"/>
    </row>
    <row r="58" customFormat="false" ht="15" hidden="false" customHeight="false" outlineLevel="0" collapsed="false">
      <c r="D58" s="41"/>
    </row>
    <row r="59" customFormat="false" ht="15" hidden="false" customHeight="false" outlineLevel="0" collapsed="false">
      <c r="D59" s="41"/>
    </row>
    <row r="60" customFormat="false" ht="15" hidden="false" customHeight="false" outlineLevel="0" collapsed="false">
      <c r="D60" s="41"/>
    </row>
    <row r="61" customFormat="false" ht="15" hidden="false" customHeight="false" outlineLevel="0" collapsed="false">
      <c r="D61" s="41"/>
    </row>
    <row r="62" customFormat="false" ht="15" hidden="false" customHeight="false" outlineLevel="0" collapsed="false">
      <c r="D62" s="41"/>
    </row>
    <row r="63" customFormat="false" ht="15" hidden="false" customHeight="false" outlineLevel="0" collapsed="false">
      <c r="D63" s="41"/>
    </row>
    <row r="64" customFormat="false" ht="15" hidden="false" customHeight="false" outlineLevel="0" collapsed="false">
      <c r="D64" s="41"/>
    </row>
    <row r="65" customFormat="false" ht="15" hidden="false" customHeight="false" outlineLevel="0" collapsed="false">
      <c r="D65" s="41"/>
    </row>
    <row r="66" customFormat="false" ht="15" hidden="false" customHeight="false" outlineLevel="0" collapsed="false">
      <c r="D66" s="41"/>
    </row>
    <row r="67" customFormat="false" ht="15" hidden="false" customHeight="false" outlineLevel="0" collapsed="false">
      <c r="D67" s="41"/>
    </row>
    <row r="68" customFormat="false" ht="15" hidden="false" customHeight="false" outlineLevel="0" collapsed="false">
      <c r="D68" s="41"/>
    </row>
    <row r="69" customFormat="false" ht="15" hidden="false" customHeight="false" outlineLevel="0" collapsed="false">
      <c r="D69" s="41"/>
    </row>
    <row r="70" customFormat="false" ht="15" hidden="false" customHeight="false" outlineLevel="0" collapsed="false">
      <c r="D70" s="41"/>
    </row>
    <row r="71" customFormat="false" ht="15" hidden="false" customHeight="false" outlineLevel="0" collapsed="false">
      <c r="D71" s="41"/>
    </row>
    <row r="72" customFormat="false" ht="15" hidden="false" customHeight="false" outlineLevel="0" collapsed="false">
      <c r="D72" s="41"/>
    </row>
    <row r="73" customFormat="false" ht="15" hidden="false" customHeight="false" outlineLevel="0" collapsed="false">
      <c r="D73" s="41"/>
    </row>
    <row r="74" customFormat="false" ht="15" hidden="false" customHeight="false" outlineLevel="0" collapsed="false">
      <c r="D74" s="41"/>
    </row>
    <row r="75" customFormat="false" ht="15" hidden="false" customHeight="false" outlineLevel="0" collapsed="false">
      <c r="D75" s="41"/>
    </row>
    <row r="76" customFormat="false" ht="15" hidden="false" customHeight="false" outlineLevel="0" collapsed="false">
      <c r="D76" s="41"/>
    </row>
    <row r="77" customFormat="false" ht="15" hidden="false" customHeight="false" outlineLevel="0" collapsed="false">
      <c r="D77" s="41"/>
    </row>
    <row r="78" customFormat="false" ht="15" hidden="false" customHeight="false" outlineLevel="0" collapsed="false">
      <c r="D78" s="41"/>
    </row>
    <row r="79" customFormat="false" ht="15" hidden="false" customHeight="false" outlineLevel="0" collapsed="false">
      <c r="D79" s="41"/>
    </row>
    <row r="80" customFormat="false" ht="15" hidden="false" customHeight="false" outlineLevel="0" collapsed="false">
      <c r="D80" s="41"/>
    </row>
    <row r="81" customFormat="false" ht="15" hidden="false" customHeight="false" outlineLevel="0" collapsed="false">
      <c r="D81" s="41"/>
    </row>
    <row r="82" customFormat="false" ht="15" hidden="false" customHeight="false" outlineLevel="0" collapsed="false">
      <c r="D82" s="41"/>
    </row>
    <row r="83" customFormat="false" ht="15" hidden="false" customHeight="false" outlineLevel="0" collapsed="false">
      <c r="D83" s="41"/>
    </row>
    <row r="84" customFormat="false" ht="15" hidden="false" customHeight="false" outlineLevel="0" collapsed="false">
      <c r="D84" s="41"/>
    </row>
    <row r="85" customFormat="false" ht="15" hidden="false" customHeight="false" outlineLevel="0" collapsed="false">
      <c r="D85" s="41"/>
    </row>
    <row r="86" customFormat="false" ht="15" hidden="false" customHeight="false" outlineLevel="0" collapsed="false">
      <c r="D86" s="41"/>
    </row>
    <row r="87" customFormat="false" ht="15" hidden="false" customHeight="false" outlineLevel="0" collapsed="false">
      <c r="D87" s="41"/>
    </row>
    <row r="88" customFormat="false" ht="15" hidden="false" customHeight="false" outlineLevel="0" collapsed="false">
      <c r="D88" s="41"/>
    </row>
    <row r="89" customFormat="false" ht="15" hidden="false" customHeight="false" outlineLevel="0" collapsed="false">
      <c r="D89" s="41"/>
    </row>
    <row r="90" customFormat="false" ht="15" hidden="false" customHeight="false" outlineLevel="0" collapsed="false">
      <c r="D90" s="41"/>
    </row>
    <row r="91" customFormat="false" ht="15" hidden="false" customHeight="false" outlineLevel="0" collapsed="false">
      <c r="D91" s="41"/>
    </row>
    <row r="92" customFormat="false" ht="15" hidden="false" customHeight="false" outlineLevel="0" collapsed="false">
      <c r="D92" s="41"/>
    </row>
    <row r="93" customFormat="false" ht="15" hidden="false" customHeight="false" outlineLevel="0" collapsed="false">
      <c r="D93" s="41"/>
    </row>
    <row r="94" customFormat="false" ht="15" hidden="false" customHeight="false" outlineLevel="0" collapsed="false">
      <c r="D94" s="41"/>
    </row>
    <row r="95" customFormat="false" ht="15" hidden="false" customHeight="false" outlineLevel="0" collapsed="false">
      <c r="D95" s="41"/>
    </row>
    <row r="96" customFormat="false" ht="15" hidden="false" customHeight="false" outlineLevel="0" collapsed="false">
      <c r="D96" s="41"/>
    </row>
    <row r="97" customFormat="false" ht="15" hidden="false" customHeight="false" outlineLevel="0" collapsed="false">
      <c r="D97" s="41"/>
    </row>
    <row r="98" customFormat="false" ht="15" hidden="false" customHeight="false" outlineLevel="0" collapsed="false">
      <c r="D98" s="41"/>
    </row>
    <row r="99" customFormat="false" ht="15" hidden="false" customHeight="false" outlineLevel="0" collapsed="false">
      <c r="D99" s="41"/>
    </row>
    <row r="100" customFormat="false" ht="15" hidden="false" customHeight="false" outlineLevel="0" collapsed="false">
      <c r="D100" s="41"/>
    </row>
    <row r="101" customFormat="false" ht="15" hidden="false" customHeight="false" outlineLevel="0" collapsed="false">
      <c r="D101" s="41"/>
    </row>
    <row r="102" customFormat="false" ht="15" hidden="false" customHeight="false" outlineLevel="0" collapsed="false">
      <c r="D102" s="41"/>
    </row>
    <row r="103" customFormat="false" ht="15" hidden="false" customHeight="false" outlineLevel="0" collapsed="false">
      <c r="D103" s="41"/>
    </row>
    <row r="104" customFormat="false" ht="15" hidden="false" customHeight="false" outlineLevel="0" collapsed="false">
      <c r="D104" s="41"/>
    </row>
    <row r="105" customFormat="false" ht="15" hidden="false" customHeight="false" outlineLevel="0" collapsed="false">
      <c r="D105" s="41"/>
    </row>
    <row r="106" customFormat="false" ht="15" hidden="false" customHeight="false" outlineLevel="0" collapsed="false">
      <c r="D106" s="41"/>
    </row>
    <row r="107" customFormat="false" ht="15" hidden="false" customHeight="false" outlineLevel="0" collapsed="false">
      <c r="D107" s="41"/>
    </row>
    <row r="108" customFormat="false" ht="15" hidden="false" customHeight="false" outlineLevel="0" collapsed="false">
      <c r="D108" s="41"/>
    </row>
    <row r="109" customFormat="false" ht="15" hidden="false" customHeight="false" outlineLevel="0" collapsed="false">
      <c r="D109" s="41"/>
    </row>
    <row r="110" customFormat="false" ht="15" hidden="false" customHeight="false" outlineLevel="0" collapsed="false">
      <c r="D110" s="41"/>
    </row>
    <row r="111" customFormat="false" ht="15" hidden="false" customHeight="false" outlineLevel="0" collapsed="false">
      <c r="D111" s="41"/>
    </row>
    <row r="112" customFormat="false" ht="15" hidden="false" customHeight="false" outlineLevel="0" collapsed="false">
      <c r="D112" s="41"/>
    </row>
    <row r="113" customFormat="false" ht="15" hidden="false" customHeight="false" outlineLevel="0" collapsed="false">
      <c r="D113" s="41"/>
    </row>
    <row r="114" customFormat="false" ht="15" hidden="false" customHeight="false" outlineLevel="0" collapsed="false">
      <c r="D114" s="41"/>
    </row>
    <row r="115" customFormat="false" ht="15" hidden="false" customHeight="false" outlineLevel="0" collapsed="false">
      <c r="D115" s="41"/>
    </row>
    <row r="116" customFormat="false" ht="15" hidden="false" customHeight="false" outlineLevel="0" collapsed="false">
      <c r="D116" s="41"/>
    </row>
    <row r="117" customFormat="false" ht="15" hidden="false" customHeight="false" outlineLevel="0" collapsed="false">
      <c r="D117" s="41"/>
    </row>
    <row r="118" customFormat="false" ht="15" hidden="false" customHeight="false" outlineLevel="0" collapsed="false">
      <c r="D118" s="41"/>
    </row>
    <row r="119" customFormat="false" ht="15" hidden="false" customHeight="false" outlineLevel="0" collapsed="false">
      <c r="D119" s="41"/>
    </row>
    <row r="120" customFormat="false" ht="15" hidden="false" customHeight="false" outlineLevel="0" collapsed="false">
      <c r="D120" s="41"/>
    </row>
    <row r="121" customFormat="false" ht="15" hidden="false" customHeight="false" outlineLevel="0" collapsed="false">
      <c r="D121" s="41"/>
    </row>
    <row r="122" customFormat="false" ht="15" hidden="false" customHeight="false" outlineLevel="0" collapsed="false">
      <c r="D122" s="41"/>
    </row>
    <row r="123" customFormat="false" ht="15" hidden="false" customHeight="false" outlineLevel="0" collapsed="false">
      <c r="D123" s="41"/>
    </row>
    <row r="124" customFormat="false" ht="15" hidden="false" customHeight="false" outlineLevel="0" collapsed="false">
      <c r="D124" s="41"/>
    </row>
    <row r="125" customFormat="false" ht="15" hidden="false" customHeight="false" outlineLevel="0" collapsed="false">
      <c r="D125" s="41"/>
    </row>
    <row r="126" customFormat="false" ht="15" hidden="false" customHeight="false" outlineLevel="0" collapsed="false">
      <c r="D126" s="41"/>
    </row>
    <row r="127" customFormat="false" ht="15" hidden="false" customHeight="false" outlineLevel="0" collapsed="false">
      <c r="D127" s="41"/>
    </row>
    <row r="128" customFormat="false" ht="15" hidden="false" customHeight="false" outlineLevel="0" collapsed="false">
      <c r="D128" s="41"/>
    </row>
    <row r="129" customFormat="false" ht="15" hidden="false" customHeight="false" outlineLevel="0" collapsed="false">
      <c r="D129" s="41"/>
    </row>
    <row r="130" customFormat="false" ht="15" hidden="false" customHeight="false" outlineLevel="0" collapsed="false">
      <c r="D130" s="41"/>
    </row>
    <row r="131" customFormat="false" ht="15" hidden="false" customHeight="false" outlineLevel="0" collapsed="false">
      <c r="D131" s="41"/>
    </row>
    <row r="132" customFormat="false" ht="15" hidden="false" customHeight="false" outlineLevel="0" collapsed="false">
      <c r="D132" s="41"/>
    </row>
    <row r="133" customFormat="false" ht="15" hidden="false" customHeight="false" outlineLevel="0" collapsed="false">
      <c r="D133" s="41"/>
    </row>
    <row r="134" customFormat="false" ht="15" hidden="false" customHeight="false" outlineLevel="0" collapsed="false">
      <c r="D134" s="41"/>
    </row>
    <row r="135" customFormat="false" ht="15" hidden="false" customHeight="false" outlineLevel="0" collapsed="false">
      <c r="D135" s="41"/>
    </row>
    <row r="136" customFormat="false" ht="15" hidden="false" customHeight="false" outlineLevel="0" collapsed="false">
      <c r="D136" s="41"/>
    </row>
    <row r="137" customFormat="false" ht="15" hidden="false" customHeight="false" outlineLevel="0" collapsed="false">
      <c r="D137" s="41"/>
    </row>
    <row r="138" customFormat="false" ht="15" hidden="false" customHeight="false" outlineLevel="0" collapsed="false">
      <c r="D138" s="41"/>
    </row>
    <row r="139" customFormat="false" ht="15" hidden="false" customHeight="false" outlineLevel="0" collapsed="false">
      <c r="D139" s="41"/>
    </row>
    <row r="140" customFormat="false" ht="15" hidden="false" customHeight="false" outlineLevel="0" collapsed="false">
      <c r="D140" s="41"/>
    </row>
    <row r="141" customFormat="false" ht="15" hidden="false" customHeight="false" outlineLevel="0" collapsed="false">
      <c r="D141" s="41"/>
    </row>
    <row r="142" customFormat="false" ht="15" hidden="false" customHeight="false" outlineLevel="0" collapsed="false">
      <c r="D142" s="41"/>
    </row>
    <row r="143" customFormat="false" ht="15" hidden="false" customHeight="false" outlineLevel="0" collapsed="false">
      <c r="D143" s="41"/>
    </row>
    <row r="144" customFormat="false" ht="15" hidden="false" customHeight="false" outlineLevel="0" collapsed="false">
      <c r="D144" s="41"/>
    </row>
    <row r="145" customFormat="false" ht="15" hidden="false" customHeight="false" outlineLevel="0" collapsed="false">
      <c r="D145" s="41"/>
    </row>
    <row r="146" customFormat="false" ht="15" hidden="false" customHeight="false" outlineLevel="0" collapsed="false">
      <c r="D146" s="41"/>
    </row>
    <row r="147" customFormat="false" ht="15" hidden="false" customHeight="false" outlineLevel="0" collapsed="false">
      <c r="D147" s="41"/>
    </row>
    <row r="148" customFormat="false" ht="15" hidden="false" customHeight="false" outlineLevel="0" collapsed="false">
      <c r="D148" s="41"/>
    </row>
    <row r="149" customFormat="false" ht="15" hidden="false" customHeight="false" outlineLevel="0" collapsed="false">
      <c r="D149" s="41"/>
    </row>
    <row r="150" customFormat="false" ht="15" hidden="false" customHeight="false" outlineLevel="0" collapsed="false">
      <c r="D150" s="41"/>
    </row>
    <row r="151" customFormat="false" ht="15" hidden="false" customHeight="false" outlineLevel="0" collapsed="false">
      <c r="D151" s="41"/>
    </row>
    <row r="152" customFormat="false" ht="15" hidden="false" customHeight="false" outlineLevel="0" collapsed="false">
      <c r="D152" s="41"/>
    </row>
    <row r="153" customFormat="false" ht="15" hidden="false" customHeight="false" outlineLevel="0" collapsed="false">
      <c r="D153" s="41"/>
    </row>
    <row r="154" customFormat="false" ht="15" hidden="false" customHeight="false" outlineLevel="0" collapsed="false">
      <c r="D154" s="41"/>
    </row>
    <row r="155" customFormat="false" ht="15" hidden="false" customHeight="false" outlineLevel="0" collapsed="false">
      <c r="D155" s="41"/>
    </row>
    <row r="156" customFormat="false" ht="15" hidden="false" customHeight="false" outlineLevel="0" collapsed="false">
      <c r="D156" s="41"/>
    </row>
    <row r="157" customFormat="false" ht="15" hidden="false" customHeight="false" outlineLevel="0" collapsed="false">
      <c r="D157" s="41"/>
    </row>
    <row r="158" customFormat="false" ht="15" hidden="false" customHeight="false" outlineLevel="0" collapsed="false">
      <c r="D158" s="41"/>
    </row>
    <row r="159" customFormat="false" ht="15" hidden="false" customHeight="false" outlineLevel="0" collapsed="false">
      <c r="D159" s="41"/>
    </row>
    <row r="160" customFormat="false" ht="15" hidden="false" customHeight="false" outlineLevel="0" collapsed="false">
      <c r="D160" s="41"/>
    </row>
    <row r="161" customFormat="false" ht="15" hidden="false" customHeight="false" outlineLevel="0" collapsed="false">
      <c r="D161" s="41"/>
    </row>
    <row r="162" customFormat="false" ht="15" hidden="false" customHeight="false" outlineLevel="0" collapsed="false">
      <c r="D162" s="41"/>
    </row>
    <row r="163" customFormat="false" ht="15" hidden="false" customHeight="false" outlineLevel="0" collapsed="false">
      <c r="D163" s="41"/>
    </row>
    <row r="164" customFormat="false" ht="15" hidden="false" customHeight="false" outlineLevel="0" collapsed="false">
      <c r="D164" s="41"/>
    </row>
    <row r="165" customFormat="false" ht="15" hidden="false" customHeight="false" outlineLevel="0" collapsed="false">
      <c r="D165" s="41"/>
    </row>
    <row r="166" customFormat="false" ht="15" hidden="false" customHeight="false" outlineLevel="0" collapsed="false">
      <c r="D166" s="41"/>
    </row>
    <row r="167" customFormat="false" ht="15" hidden="false" customHeight="false" outlineLevel="0" collapsed="false">
      <c r="D167" s="41"/>
    </row>
    <row r="168" customFormat="false" ht="15" hidden="false" customHeight="false" outlineLevel="0" collapsed="false">
      <c r="D168" s="41"/>
    </row>
    <row r="169" customFormat="false" ht="15" hidden="false" customHeight="false" outlineLevel="0" collapsed="false">
      <c r="D169" s="41"/>
    </row>
    <row r="170" customFormat="false" ht="15" hidden="false" customHeight="false" outlineLevel="0" collapsed="false">
      <c r="D170" s="41"/>
    </row>
    <row r="171" customFormat="false" ht="15" hidden="false" customHeight="false" outlineLevel="0" collapsed="false">
      <c r="D171" s="41"/>
    </row>
    <row r="172" customFormat="false" ht="15" hidden="false" customHeight="false" outlineLevel="0" collapsed="false">
      <c r="D172" s="41"/>
    </row>
    <row r="173" customFormat="false" ht="15" hidden="false" customHeight="false" outlineLevel="0" collapsed="false">
      <c r="D173" s="41"/>
    </row>
    <row r="174" customFormat="false" ht="15" hidden="false" customHeight="false" outlineLevel="0" collapsed="false">
      <c r="D174" s="41"/>
    </row>
    <row r="175" customFormat="false" ht="15" hidden="false" customHeight="false" outlineLevel="0" collapsed="false">
      <c r="D175" s="41"/>
    </row>
    <row r="176" customFormat="false" ht="15" hidden="false" customHeight="false" outlineLevel="0" collapsed="false">
      <c r="D176" s="41"/>
    </row>
    <row r="177" customFormat="false" ht="15" hidden="false" customHeight="false" outlineLevel="0" collapsed="false">
      <c r="D177" s="41"/>
    </row>
    <row r="178" customFormat="false" ht="15" hidden="false" customHeight="false" outlineLevel="0" collapsed="false">
      <c r="D178" s="41"/>
    </row>
    <row r="179" customFormat="false" ht="15" hidden="false" customHeight="false" outlineLevel="0" collapsed="false">
      <c r="D179" s="41"/>
    </row>
    <row r="180" customFormat="false" ht="15" hidden="false" customHeight="false" outlineLevel="0" collapsed="false">
      <c r="D180" s="41"/>
    </row>
    <row r="181" customFormat="false" ht="15" hidden="false" customHeight="false" outlineLevel="0" collapsed="false">
      <c r="D181" s="41"/>
    </row>
    <row r="182" customFormat="false" ht="15" hidden="false" customHeight="false" outlineLevel="0" collapsed="false">
      <c r="D182" s="41"/>
    </row>
    <row r="183" customFormat="false" ht="15" hidden="false" customHeight="false" outlineLevel="0" collapsed="false">
      <c r="D183" s="41"/>
    </row>
    <row r="184" customFormat="false" ht="15" hidden="false" customHeight="false" outlineLevel="0" collapsed="false">
      <c r="D184" s="41"/>
    </row>
    <row r="185" customFormat="false" ht="15" hidden="false" customHeight="false" outlineLevel="0" collapsed="false">
      <c r="D185" s="41"/>
    </row>
    <row r="186" customFormat="false" ht="15" hidden="false" customHeight="false" outlineLevel="0" collapsed="false">
      <c r="D186" s="41"/>
    </row>
    <row r="187" customFormat="false" ht="15" hidden="false" customHeight="false" outlineLevel="0" collapsed="false">
      <c r="D187" s="41"/>
    </row>
    <row r="188" customFormat="false" ht="15" hidden="false" customHeight="false" outlineLevel="0" collapsed="false">
      <c r="D188" s="41"/>
    </row>
    <row r="189" customFormat="false" ht="15" hidden="false" customHeight="false" outlineLevel="0" collapsed="false">
      <c r="D189" s="41"/>
    </row>
    <row r="190" customFormat="false" ht="15" hidden="false" customHeight="false" outlineLevel="0" collapsed="false">
      <c r="D190" s="41"/>
    </row>
    <row r="191" customFormat="false" ht="15" hidden="false" customHeight="false" outlineLevel="0" collapsed="false">
      <c r="D191" s="41"/>
    </row>
    <row r="192" customFormat="false" ht="15" hidden="false" customHeight="false" outlineLevel="0" collapsed="false">
      <c r="D192" s="41"/>
    </row>
    <row r="193" customFormat="false" ht="15" hidden="false" customHeight="false" outlineLevel="0" collapsed="false">
      <c r="D193" s="41"/>
    </row>
    <row r="194" customFormat="false" ht="15" hidden="false" customHeight="false" outlineLevel="0" collapsed="false">
      <c r="D194" s="41"/>
    </row>
    <row r="195" customFormat="false" ht="15" hidden="false" customHeight="false" outlineLevel="0" collapsed="false">
      <c r="D195" s="41"/>
    </row>
    <row r="196" customFormat="false" ht="15" hidden="false" customHeight="false" outlineLevel="0" collapsed="false">
      <c r="D196" s="41"/>
    </row>
    <row r="197" customFormat="false" ht="15" hidden="false" customHeight="false" outlineLevel="0" collapsed="false">
      <c r="D197" s="41"/>
    </row>
    <row r="198" customFormat="false" ht="15" hidden="false" customHeight="false" outlineLevel="0" collapsed="false">
      <c r="D198" s="41"/>
    </row>
    <row r="199" customFormat="false" ht="15" hidden="false" customHeight="false" outlineLevel="0" collapsed="false">
      <c r="D199" s="41"/>
    </row>
    <row r="200" customFormat="false" ht="15" hidden="false" customHeight="false" outlineLevel="0" collapsed="false">
      <c r="D200" s="41"/>
    </row>
    <row r="201" customFormat="false" ht="15" hidden="false" customHeight="false" outlineLevel="0" collapsed="false">
      <c r="D201" s="41"/>
    </row>
    <row r="202" customFormat="false" ht="15" hidden="false" customHeight="false" outlineLevel="0" collapsed="false">
      <c r="D202" s="41"/>
    </row>
    <row r="203" customFormat="false" ht="15" hidden="false" customHeight="false" outlineLevel="0" collapsed="false">
      <c r="D203" s="41"/>
    </row>
    <row r="204" customFormat="false" ht="15" hidden="false" customHeight="false" outlineLevel="0" collapsed="false">
      <c r="D204" s="41"/>
    </row>
    <row r="205" customFormat="false" ht="15" hidden="false" customHeight="false" outlineLevel="0" collapsed="false">
      <c r="D205" s="41"/>
    </row>
    <row r="206" customFormat="false" ht="15" hidden="false" customHeight="false" outlineLevel="0" collapsed="false">
      <c r="D206" s="41"/>
    </row>
    <row r="207" customFormat="false" ht="15" hidden="false" customHeight="false" outlineLevel="0" collapsed="false">
      <c r="D207" s="41"/>
    </row>
    <row r="208" customFormat="false" ht="15" hidden="false" customHeight="false" outlineLevel="0" collapsed="false">
      <c r="D208" s="41"/>
    </row>
    <row r="209" customFormat="false" ht="15" hidden="false" customHeight="false" outlineLevel="0" collapsed="false">
      <c r="D209" s="41"/>
    </row>
    <row r="210" customFormat="false" ht="15" hidden="false" customHeight="false" outlineLevel="0" collapsed="false">
      <c r="D210" s="41"/>
    </row>
    <row r="211" customFormat="false" ht="15" hidden="false" customHeight="false" outlineLevel="0" collapsed="false">
      <c r="D211" s="41"/>
    </row>
    <row r="212" customFormat="false" ht="15" hidden="false" customHeight="false" outlineLevel="0" collapsed="false">
      <c r="D212" s="41"/>
    </row>
    <row r="213" customFormat="false" ht="15" hidden="false" customHeight="false" outlineLevel="0" collapsed="false">
      <c r="D213" s="41"/>
    </row>
    <row r="214" customFormat="false" ht="15" hidden="false" customHeight="false" outlineLevel="0" collapsed="false">
      <c r="D214" s="41"/>
    </row>
    <row r="215" customFormat="false" ht="15" hidden="false" customHeight="false" outlineLevel="0" collapsed="false">
      <c r="D215" s="41"/>
    </row>
    <row r="216" customFormat="false" ht="15" hidden="false" customHeight="false" outlineLevel="0" collapsed="false">
      <c r="D216" s="41"/>
    </row>
    <row r="217" customFormat="false" ht="15" hidden="false" customHeight="false" outlineLevel="0" collapsed="false">
      <c r="D217" s="41"/>
    </row>
    <row r="218" customFormat="false" ht="15" hidden="false" customHeight="false" outlineLevel="0" collapsed="false">
      <c r="D218" s="41"/>
    </row>
    <row r="219" customFormat="false" ht="15" hidden="false" customHeight="false" outlineLevel="0" collapsed="false">
      <c r="D219" s="41"/>
    </row>
    <row r="220" customFormat="false" ht="15" hidden="false" customHeight="false" outlineLevel="0" collapsed="false">
      <c r="D220" s="41"/>
    </row>
    <row r="221" customFormat="false" ht="15" hidden="false" customHeight="false" outlineLevel="0" collapsed="false">
      <c r="D221" s="41"/>
    </row>
    <row r="222" customFormat="false" ht="15" hidden="false" customHeight="false" outlineLevel="0" collapsed="false">
      <c r="D222" s="41"/>
    </row>
    <row r="223" customFormat="false" ht="15" hidden="false" customHeight="false" outlineLevel="0" collapsed="false">
      <c r="D223" s="41"/>
    </row>
    <row r="224" customFormat="false" ht="15" hidden="false" customHeight="false" outlineLevel="0" collapsed="false">
      <c r="D224" s="41"/>
    </row>
    <row r="225" customFormat="false" ht="15" hidden="false" customHeight="false" outlineLevel="0" collapsed="false">
      <c r="D225" s="41"/>
    </row>
    <row r="226" customFormat="false" ht="15" hidden="false" customHeight="false" outlineLevel="0" collapsed="false">
      <c r="D226" s="41"/>
    </row>
    <row r="227" customFormat="false" ht="15" hidden="false" customHeight="false" outlineLevel="0" collapsed="false">
      <c r="D227" s="41"/>
    </row>
    <row r="228" customFormat="false" ht="15" hidden="false" customHeight="false" outlineLevel="0" collapsed="false">
      <c r="D228" s="41"/>
    </row>
    <row r="229" customFormat="false" ht="15" hidden="false" customHeight="false" outlineLevel="0" collapsed="false">
      <c r="D229" s="41"/>
    </row>
    <row r="230" customFormat="false" ht="15" hidden="false" customHeight="false" outlineLevel="0" collapsed="false">
      <c r="D230" s="41"/>
    </row>
    <row r="231" customFormat="false" ht="15" hidden="false" customHeight="false" outlineLevel="0" collapsed="false">
      <c r="D231" s="41"/>
    </row>
    <row r="232" customFormat="false" ht="15" hidden="false" customHeight="false" outlineLevel="0" collapsed="false">
      <c r="D232" s="41"/>
    </row>
    <row r="233" customFormat="false" ht="15" hidden="false" customHeight="false" outlineLevel="0" collapsed="false">
      <c r="D233" s="41"/>
    </row>
    <row r="234" customFormat="false" ht="15" hidden="false" customHeight="false" outlineLevel="0" collapsed="false">
      <c r="D234" s="41"/>
    </row>
    <row r="235" customFormat="false" ht="15" hidden="false" customHeight="false" outlineLevel="0" collapsed="false">
      <c r="D235" s="41"/>
    </row>
    <row r="236" customFormat="false" ht="15" hidden="false" customHeight="false" outlineLevel="0" collapsed="false">
      <c r="D236" s="41"/>
    </row>
    <row r="237" customFormat="false" ht="15" hidden="false" customHeight="false" outlineLevel="0" collapsed="false">
      <c r="D237" s="41"/>
    </row>
    <row r="238" customFormat="false" ht="15" hidden="false" customHeight="false" outlineLevel="0" collapsed="false">
      <c r="D238" s="41"/>
    </row>
    <row r="239" customFormat="false" ht="15" hidden="false" customHeight="false" outlineLevel="0" collapsed="false">
      <c r="D239" s="41"/>
    </row>
    <row r="240" customFormat="false" ht="15" hidden="false" customHeight="false" outlineLevel="0" collapsed="false">
      <c r="D240" s="41"/>
    </row>
    <row r="241" customFormat="false" ht="15" hidden="false" customHeight="false" outlineLevel="0" collapsed="false">
      <c r="D241" s="41"/>
    </row>
    <row r="242" customFormat="false" ht="15" hidden="false" customHeight="false" outlineLevel="0" collapsed="false">
      <c r="D242" s="41"/>
    </row>
    <row r="243" customFormat="false" ht="15" hidden="false" customHeight="false" outlineLevel="0" collapsed="false">
      <c r="D243" s="41"/>
    </row>
    <row r="244" customFormat="false" ht="15" hidden="false" customHeight="false" outlineLevel="0" collapsed="false">
      <c r="D244" s="41"/>
    </row>
    <row r="245" customFormat="false" ht="15" hidden="false" customHeight="false" outlineLevel="0" collapsed="false">
      <c r="D245" s="41"/>
    </row>
    <row r="246" customFormat="false" ht="15" hidden="false" customHeight="false" outlineLevel="0" collapsed="false">
      <c r="D246" s="41"/>
    </row>
    <row r="247" customFormat="false" ht="15" hidden="false" customHeight="false" outlineLevel="0" collapsed="false">
      <c r="D247" s="41"/>
    </row>
    <row r="248" customFormat="false" ht="15" hidden="false" customHeight="false" outlineLevel="0" collapsed="false">
      <c r="D248" s="41"/>
    </row>
    <row r="249" customFormat="false" ht="15" hidden="false" customHeight="false" outlineLevel="0" collapsed="false">
      <c r="D249" s="41"/>
    </row>
    <row r="250" customFormat="false" ht="15" hidden="false" customHeight="false" outlineLevel="0" collapsed="false">
      <c r="D250" s="41"/>
    </row>
    <row r="251" customFormat="false" ht="15" hidden="false" customHeight="false" outlineLevel="0" collapsed="false">
      <c r="D251" s="41"/>
    </row>
    <row r="252" customFormat="false" ht="15" hidden="false" customHeight="false" outlineLevel="0" collapsed="false">
      <c r="D252" s="41"/>
    </row>
    <row r="253" customFormat="false" ht="15" hidden="false" customHeight="false" outlineLevel="0" collapsed="false">
      <c r="D253" s="41"/>
    </row>
    <row r="254" customFormat="false" ht="15" hidden="false" customHeight="false" outlineLevel="0" collapsed="false">
      <c r="D254" s="41"/>
    </row>
    <row r="255" customFormat="false" ht="15" hidden="false" customHeight="false" outlineLevel="0" collapsed="false">
      <c r="D255" s="41"/>
    </row>
    <row r="256" customFormat="false" ht="15" hidden="false" customHeight="false" outlineLevel="0" collapsed="false">
      <c r="D256" s="41"/>
    </row>
    <row r="257" customFormat="false" ht="15" hidden="false" customHeight="false" outlineLevel="0" collapsed="false">
      <c r="D257" s="41"/>
    </row>
    <row r="258" customFormat="false" ht="15" hidden="false" customHeight="false" outlineLevel="0" collapsed="false">
      <c r="D258" s="41"/>
    </row>
    <row r="259" customFormat="false" ht="15" hidden="false" customHeight="false" outlineLevel="0" collapsed="false">
      <c r="D259" s="41"/>
    </row>
    <row r="260" customFormat="false" ht="15" hidden="false" customHeight="false" outlineLevel="0" collapsed="false">
      <c r="D260" s="41"/>
    </row>
    <row r="261" customFormat="false" ht="15" hidden="false" customHeight="false" outlineLevel="0" collapsed="false">
      <c r="D261" s="41"/>
    </row>
    <row r="262" customFormat="false" ht="15" hidden="false" customHeight="false" outlineLevel="0" collapsed="false">
      <c r="D262" s="41"/>
    </row>
    <row r="263" customFormat="false" ht="15" hidden="false" customHeight="false" outlineLevel="0" collapsed="false">
      <c r="D263" s="41"/>
    </row>
    <row r="264" customFormat="false" ht="15" hidden="false" customHeight="false" outlineLevel="0" collapsed="false">
      <c r="D264" s="41"/>
    </row>
    <row r="265" customFormat="false" ht="15" hidden="false" customHeight="false" outlineLevel="0" collapsed="false">
      <c r="D265" s="41"/>
    </row>
    <row r="266" customFormat="false" ht="15" hidden="false" customHeight="false" outlineLevel="0" collapsed="false">
      <c r="D266" s="41"/>
    </row>
    <row r="267" customFormat="false" ht="15" hidden="false" customHeight="false" outlineLevel="0" collapsed="false">
      <c r="D267" s="41"/>
    </row>
    <row r="268" customFormat="false" ht="15" hidden="false" customHeight="false" outlineLevel="0" collapsed="false">
      <c r="D268" s="41"/>
    </row>
    <row r="269" customFormat="false" ht="15" hidden="false" customHeight="false" outlineLevel="0" collapsed="false">
      <c r="D269" s="41"/>
    </row>
    <row r="270" customFormat="false" ht="15" hidden="false" customHeight="false" outlineLevel="0" collapsed="false">
      <c r="D270" s="41"/>
    </row>
    <row r="271" customFormat="false" ht="15" hidden="false" customHeight="false" outlineLevel="0" collapsed="false">
      <c r="D271" s="41"/>
    </row>
    <row r="272" customFormat="false" ht="15" hidden="false" customHeight="false" outlineLevel="0" collapsed="false">
      <c r="D272" s="41"/>
    </row>
    <row r="273" customFormat="false" ht="15" hidden="false" customHeight="false" outlineLevel="0" collapsed="false">
      <c r="D273" s="41"/>
    </row>
    <row r="274" customFormat="false" ht="15" hidden="false" customHeight="false" outlineLevel="0" collapsed="false">
      <c r="D274" s="41"/>
    </row>
    <row r="275" customFormat="false" ht="15" hidden="false" customHeight="false" outlineLevel="0" collapsed="false">
      <c r="D275" s="41"/>
    </row>
    <row r="276" customFormat="false" ht="15" hidden="false" customHeight="false" outlineLevel="0" collapsed="false">
      <c r="D276" s="41"/>
    </row>
    <row r="277" customFormat="false" ht="15" hidden="false" customHeight="false" outlineLevel="0" collapsed="false">
      <c r="D277" s="41"/>
    </row>
    <row r="278" customFormat="false" ht="15" hidden="false" customHeight="false" outlineLevel="0" collapsed="false">
      <c r="D278" s="41"/>
    </row>
    <row r="279" customFormat="false" ht="15" hidden="false" customHeight="false" outlineLevel="0" collapsed="false">
      <c r="D279" s="41"/>
    </row>
    <row r="280" customFormat="false" ht="15" hidden="false" customHeight="false" outlineLevel="0" collapsed="false">
      <c r="D280" s="41"/>
    </row>
    <row r="281" customFormat="false" ht="15" hidden="false" customHeight="false" outlineLevel="0" collapsed="false">
      <c r="D281" s="41"/>
    </row>
    <row r="282" customFormat="false" ht="15" hidden="false" customHeight="false" outlineLevel="0" collapsed="false">
      <c r="D282" s="41"/>
    </row>
    <row r="283" customFormat="false" ht="15" hidden="false" customHeight="false" outlineLevel="0" collapsed="false">
      <c r="D283" s="41"/>
    </row>
    <row r="284" customFormat="false" ht="15" hidden="false" customHeight="false" outlineLevel="0" collapsed="false">
      <c r="D284" s="41"/>
    </row>
    <row r="285" customFormat="false" ht="15" hidden="false" customHeight="false" outlineLevel="0" collapsed="false">
      <c r="D285" s="41"/>
    </row>
    <row r="286" customFormat="false" ht="15" hidden="false" customHeight="false" outlineLevel="0" collapsed="false">
      <c r="D286" s="41"/>
    </row>
    <row r="287" customFormat="false" ht="15" hidden="false" customHeight="false" outlineLevel="0" collapsed="false">
      <c r="D287" s="41"/>
    </row>
    <row r="288" customFormat="false" ht="15" hidden="false" customHeight="false" outlineLevel="0" collapsed="false">
      <c r="D288" s="41"/>
    </row>
    <row r="289" customFormat="false" ht="15" hidden="false" customHeight="false" outlineLevel="0" collapsed="false">
      <c r="D289" s="41"/>
    </row>
    <row r="290" customFormat="false" ht="15" hidden="false" customHeight="false" outlineLevel="0" collapsed="false">
      <c r="D290" s="41"/>
    </row>
    <row r="291" customFormat="false" ht="15" hidden="false" customHeight="false" outlineLevel="0" collapsed="false">
      <c r="D291" s="41"/>
    </row>
    <row r="292" customFormat="false" ht="15" hidden="false" customHeight="false" outlineLevel="0" collapsed="false">
      <c r="D292" s="41"/>
    </row>
    <row r="293" customFormat="false" ht="15" hidden="false" customHeight="false" outlineLevel="0" collapsed="false">
      <c r="D293" s="41"/>
    </row>
    <row r="294" customFormat="false" ht="15" hidden="false" customHeight="false" outlineLevel="0" collapsed="false">
      <c r="D294" s="41"/>
    </row>
    <row r="295" customFormat="false" ht="15" hidden="false" customHeight="false" outlineLevel="0" collapsed="false">
      <c r="D295" s="41"/>
    </row>
    <row r="296" customFormat="false" ht="15" hidden="false" customHeight="false" outlineLevel="0" collapsed="false">
      <c r="D296" s="41"/>
    </row>
    <row r="297" customFormat="false" ht="15" hidden="false" customHeight="false" outlineLevel="0" collapsed="false">
      <c r="D297" s="41"/>
    </row>
    <row r="298" customFormat="false" ht="15" hidden="false" customHeight="false" outlineLevel="0" collapsed="false">
      <c r="D298" s="41"/>
    </row>
    <row r="299" customFormat="false" ht="15" hidden="false" customHeight="false" outlineLevel="0" collapsed="false">
      <c r="D299" s="41"/>
    </row>
    <row r="300" customFormat="false" ht="15" hidden="false" customHeight="false" outlineLevel="0" collapsed="false">
      <c r="D300" s="41"/>
    </row>
    <row r="301" customFormat="false" ht="15" hidden="false" customHeight="false" outlineLevel="0" collapsed="false">
      <c r="D301" s="41"/>
    </row>
    <row r="302" customFormat="false" ht="15" hidden="false" customHeight="false" outlineLevel="0" collapsed="false">
      <c r="D302" s="41"/>
    </row>
    <row r="303" customFormat="false" ht="15" hidden="false" customHeight="false" outlineLevel="0" collapsed="false">
      <c r="D303" s="41"/>
    </row>
    <row r="304" customFormat="false" ht="15" hidden="false" customHeight="false" outlineLevel="0" collapsed="false">
      <c r="D304" s="41"/>
    </row>
    <row r="305" customFormat="false" ht="15" hidden="false" customHeight="false" outlineLevel="0" collapsed="false">
      <c r="D305" s="41"/>
    </row>
    <row r="306" customFormat="false" ht="15" hidden="false" customHeight="false" outlineLevel="0" collapsed="false">
      <c r="D306" s="41"/>
    </row>
    <row r="307" customFormat="false" ht="15" hidden="false" customHeight="false" outlineLevel="0" collapsed="false">
      <c r="D307" s="41"/>
    </row>
    <row r="308" customFormat="false" ht="15" hidden="false" customHeight="false" outlineLevel="0" collapsed="false">
      <c r="D308" s="41"/>
    </row>
    <row r="309" customFormat="false" ht="15" hidden="false" customHeight="false" outlineLevel="0" collapsed="false">
      <c r="D309" s="41"/>
    </row>
    <row r="310" customFormat="false" ht="15" hidden="false" customHeight="false" outlineLevel="0" collapsed="false">
      <c r="D310" s="41"/>
    </row>
    <row r="311" customFormat="false" ht="15" hidden="false" customHeight="false" outlineLevel="0" collapsed="false">
      <c r="D311" s="41"/>
    </row>
    <row r="312" customFormat="false" ht="15" hidden="false" customHeight="false" outlineLevel="0" collapsed="false">
      <c r="D312" s="41"/>
    </row>
    <row r="313" customFormat="false" ht="15" hidden="false" customHeight="false" outlineLevel="0" collapsed="false">
      <c r="D313" s="41"/>
    </row>
    <row r="314" customFormat="false" ht="15" hidden="false" customHeight="false" outlineLevel="0" collapsed="false">
      <c r="D314" s="41"/>
    </row>
    <row r="315" customFormat="false" ht="15" hidden="false" customHeight="false" outlineLevel="0" collapsed="false">
      <c r="D315" s="41"/>
    </row>
    <row r="316" customFormat="false" ht="15" hidden="false" customHeight="false" outlineLevel="0" collapsed="false">
      <c r="D316" s="41"/>
    </row>
    <row r="317" customFormat="false" ht="15" hidden="false" customHeight="false" outlineLevel="0" collapsed="false">
      <c r="D317" s="41"/>
    </row>
    <row r="318" customFormat="false" ht="15" hidden="false" customHeight="false" outlineLevel="0" collapsed="false">
      <c r="D318" s="41"/>
    </row>
    <row r="319" customFormat="false" ht="15" hidden="false" customHeight="false" outlineLevel="0" collapsed="false">
      <c r="D319" s="41"/>
    </row>
    <row r="320" customFormat="false" ht="15" hidden="false" customHeight="false" outlineLevel="0" collapsed="false">
      <c r="D320" s="41"/>
    </row>
    <row r="321" customFormat="false" ht="15" hidden="false" customHeight="false" outlineLevel="0" collapsed="false">
      <c r="D321" s="41"/>
    </row>
    <row r="322" customFormat="false" ht="15" hidden="false" customHeight="false" outlineLevel="0" collapsed="false">
      <c r="D322" s="41"/>
    </row>
    <row r="323" customFormat="false" ht="15" hidden="false" customHeight="false" outlineLevel="0" collapsed="false">
      <c r="D323" s="41"/>
    </row>
    <row r="324" customFormat="false" ht="15" hidden="false" customHeight="false" outlineLevel="0" collapsed="false">
      <c r="D324" s="41"/>
    </row>
    <row r="325" customFormat="false" ht="15" hidden="false" customHeight="false" outlineLevel="0" collapsed="false">
      <c r="D325" s="41"/>
    </row>
    <row r="326" customFormat="false" ht="15" hidden="false" customHeight="false" outlineLevel="0" collapsed="false">
      <c r="D326" s="41"/>
    </row>
    <row r="327" customFormat="false" ht="15" hidden="false" customHeight="false" outlineLevel="0" collapsed="false">
      <c r="D327" s="41"/>
    </row>
    <row r="328" customFormat="false" ht="15" hidden="false" customHeight="false" outlineLevel="0" collapsed="false">
      <c r="D328" s="41"/>
    </row>
    <row r="329" customFormat="false" ht="15" hidden="false" customHeight="false" outlineLevel="0" collapsed="false">
      <c r="D329" s="41"/>
    </row>
    <row r="330" customFormat="false" ht="15" hidden="false" customHeight="false" outlineLevel="0" collapsed="false">
      <c r="D330" s="41"/>
    </row>
    <row r="331" customFormat="false" ht="15" hidden="false" customHeight="false" outlineLevel="0" collapsed="false">
      <c r="D331" s="41"/>
    </row>
    <row r="332" customFormat="false" ht="15" hidden="false" customHeight="false" outlineLevel="0" collapsed="false">
      <c r="D332" s="41"/>
    </row>
    <row r="333" customFormat="false" ht="15" hidden="false" customHeight="false" outlineLevel="0" collapsed="false">
      <c r="D333" s="41"/>
    </row>
    <row r="334" customFormat="false" ht="15" hidden="false" customHeight="false" outlineLevel="0" collapsed="false">
      <c r="D334" s="41"/>
    </row>
    <row r="335" customFormat="false" ht="15" hidden="false" customHeight="false" outlineLevel="0" collapsed="false">
      <c r="D335" s="41"/>
    </row>
    <row r="336" customFormat="false" ht="15" hidden="false" customHeight="false" outlineLevel="0" collapsed="false">
      <c r="D336" s="41"/>
    </row>
    <row r="337" customFormat="false" ht="15" hidden="false" customHeight="false" outlineLevel="0" collapsed="false">
      <c r="D337" s="41"/>
    </row>
    <row r="338" customFormat="false" ht="15" hidden="false" customHeight="false" outlineLevel="0" collapsed="false">
      <c r="D338" s="41"/>
    </row>
    <row r="339" customFormat="false" ht="15" hidden="false" customHeight="false" outlineLevel="0" collapsed="false">
      <c r="D339" s="41"/>
    </row>
    <row r="340" customFormat="false" ht="15" hidden="false" customHeight="false" outlineLevel="0" collapsed="false">
      <c r="D340" s="41"/>
    </row>
    <row r="341" customFormat="false" ht="15" hidden="false" customHeight="false" outlineLevel="0" collapsed="false">
      <c r="D341" s="41"/>
    </row>
    <row r="342" customFormat="false" ht="15" hidden="false" customHeight="false" outlineLevel="0" collapsed="false">
      <c r="D342" s="41"/>
    </row>
    <row r="343" customFormat="false" ht="15" hidden="false" customHeight="false" outlineLevel="0" collapsed="false">
      <c r="D343" s="41"/>
    </row>
    <row r="344" customFormat="false" ht="15" hidden="false" customHeight="false" outlineLevel="0" collapsed="false">
      <c r="D344" s="41"/>
    </row>
    <row r="345" customFormat="false" ht="15" hidden="false" customHeight="false" outlineLevel="0" collapsed="false">
      <c r="D345" s="41"/>
    </row>
    <row r="346" customFormat="false" ht="15" hidden="false" customHeight="false" outlineLevel="0" collapsed="false">
      <c r="D346" s="41"/>
    </row>
    <row r="347" customFormat="false" ht="15" hidden="false" customHeight="false" outlineLevel="0" collapsed="false">
      <c r="D347" s="41"/>
    </row>
    <row r="348" customFormat="false" ht="15" hidden="false" customHeight="false" outlineLevel="0" collapsed="false">
      <c r="D348" s="41"/>
    </row>
    <row r="349" customFormat="false" ht="15" hidden="false" customHeight="false" outlineLevel="0" collapsed="false">
      <c r="D349" s="41"/>
    </row>
    <row r="350" customFormat="false" ht="15" hidden="false" customHeight="false" outlineLevel="0" collapsed="false">
      <c r="D350" s="41"/>
    </row>
    <row r="351" customFormat="false" ht="15" hidden="false" customHeight="false" outlineLevel="0" collapsed="false">
      <c r="D351" s="41"/>
    </row>
    <row r="352" customFormat="false" ht="15" hidden="false" customHeight="false" outlineLevel="0" collapsed="false">
      <c r="D352" s="41"/>
    </row>
    <row r="353" customFormat="false" ht="15" hidden="false" customHeight="false" outlineLevel="0" collapsed="false">
      <c r="D353" s="41"/>
    </row>
    <row r="354" customFormat="false" ht="15" hidden="false" customHeight="false" outlineLevel="0" collapsed="false">
      <c r="D354" s="41"/>
    </row>
    <row r="355" customFormat="false" ht="15" hidden="false" customHeight="false" outlineLevel="0" collapsed="false">
      <c r="D355" s="41"/>
    </row>
    <row r="356" customFormat="false" ht="15" hidden="false" customHeight="false" outlineLevel="0" collapsed="false">
      <c r="D356" s="41"/>
    </row>
    <row r="357" customFormat="false" ht="15" hidden="false" customHeight="false" outlineLevel="0" collapsed="false">
      <c r="D357" s="41"/>
    </row>
    <row r="358" customFormat="false" ht="15" hidden="false" customHeight="false" outlineLevel="0" collapsed="false">
      <c r="D358" s="41"/>
    </row>
    <row r="359" customFormat="false" ht="15" hidden="false" customHeight="false" outlineLevel="0" collapsed="false">
      <c r="D359" s="41"/>
    </row>
    <row r="360" customFormat="false" ht="15" hidden="false" customHeight="false" outlineLevel="0" collapsed="false">
      <c r="D360" s="41"/>
    </row>
    <row r="361" customFormat="false" ht="15" hidden="false" customHeight="false" outlineLevel="0" collapsed="false">
      <c r="D361" s="41"/>
    </row>
    <row r="362" customFormat="false" ht="15" hidden="false" customHeight="false" outlineLevel="0" collapsed="false">
      <c r="D362" s="41"/>
    </row>
    <row r="363" customFormat="false" ht="15" hidden="false" customHeight="false" outlineLevel="0" collapsed="false">
      <c r="D363" s="41"/>
    </row>
    <row r="364" customFormat="false" ht="15" hidden="false" customHeight="false" outlineLevel="0" collapsed="false">
      <c r="D364" s="41"/>
    </row>
    <row r="365" customFormat="false" ht="15" hidden="false" customHeight="false" outlineLevel="0" collapsed="false">
      <c r="D365" s="41"/>
    </row>
    <row r="366" customFormat="false" ht="15" hidden="false" customHeight="false" outlineLevel="0" collapsed="false">
      <c r="D366" s="41"/>
    </row>
    <row r="367" customFormat="false" ht="15" hidden="false" customHeight="false" outlineLevel="0" collapsed="false">
      <c r="D367" s="41"/>
    </row>
    <row r="368" customFormat="false" ht="15" hidden="false" customHeight="false" outlineLevel="0" collapsed="false">
      <c r="D368" s="41"/>
    </row>
    <row r="369" customFormat="false" ht="15" hidden="false" customHeight="false" outlineLevel="0" collapsed="false">
      <c r="D369" s="41"/>
    </row>
    <row r="370" customFormat="false" ht="15" hidden="false" customHeight="false" outlineLevel="0" collapsed="false">
      <c r="D370" s="41"/>
    </row>
    <row r="371" customFormat="false" ht="15" hidden="false" customHeight="false" outlineLevel="0" collapsed="false">
      <c r="D371" s="41"/>
    </row>
    <row r="372" customFormat="false" ht="15" hidden="false" customHeight="false" outlineLevel="0" collapsed="false">
      <c r="D372" s="41"/>
    </row>
    <row r="373" customFormat="false" ht="15" hidden="false" customHeight="false" outlineLevel="0" collapsed="false">
      <c r="D373" s="41"/>
    </row>
    <row r="374" customFormat="false" ht="15" hidden="false" customHeight="false" outlineLevel="0" collapsed="false">
      <c r="D374" s="41"/>
    </row>
    <row r="375" customFormat="false" ht="15" hidden="false" customHeight="false" outlineLevel="0" collapsed="false">
      <c r="D375" s="41"/>
    </row>
    <row r="376" customFormat="false" ht="15" hidden="false" customHeight="false" outlineLevel="0" collapsed="false">
      <c r="D376" s="41"/>
    </row>
    <row r="377" customFormat="false" ht="15" hidden="false" customHeight="false" outlineLevel="0" collapsed="false">
      <c r="D377" s="41"/>
    </row>
    <row r="378" customFormat="false" ht="15" hidden="false" customHeight="false" outlineLevel="0" collapsed="false">
      <c r="D378" s="41"/>
    </row>
    <row r="379" customFormat="false" ht="15" hidden="false" customHeight="false" outlineLevel="0" collapsed="false">
      <c r="D379" s="41"/>
    </row>
    <row r="380" customFormat="false" ht="15" hidden="false" customHeight="false" outlineLevel="0" collapsed="false">
      <c r="D380" s="41"/>
    </row>
    <row r="381" customFormat="false" ht="15" hidden="false" customHeight="false" outlineLevel="0" collapsed="false">
      <c r="D381" s="41"/>
    </row>
    <row r="382" customFormat="false" ht="15" hidden="false" customHeight="false" outlineLevel="0" collapsed="false">
      <c r="D382" s="41"/>
    </row>
    <row r="383" customFormat="false" ht="15" hidden="false" customHeight="false" outlineLevel="0" collapsed="false">
      <c r="D383" s="41"/>
    </row>
    <row r="384" customFormat="false" ht="15" hidden="false" customHeight="false" outlineLevel="0" collapsed="false">
      <c r="D384" s="41"/>
    </row>
    <row r="385" customFormat="false" ht="15" hidden="false" customHeight="false" outlineLevel="0" collapsed="false">
      <c r="D385" s="41"/>
    </row>
    <row r="386" customFormat="false" ht="15" hidden="false" customHeight="false" outlineLevel="0" collapsed="false">
      <c r="D386" s="41"/>
    </row>
    <row r="387" customFormat="false" ht="15" hidden="false" customHeight="false" outlineLevel="0" collapsed="false">
      <c r="D387" s="41"/>
    </row>
    <row r="388" customFormat="false" ht="15" hidden="false" customHeight="false" outlineLevel="0" collapsed="false">
      <c r="D388" s="41"/>
    </row>
    <row r="389" customFormat="false" ht="15" hidden="false" customHeight="false" outlineLevel="0" collapsed="false">
      <c r="D389" s="41"/>
    </row>
    <row r="390" customFormat="false" ht="15" hidden="false" customHeight="false" outlineLevel="0" collapsed="false">
      <c r="D390" s="41"/>
    </row>
    <row r="391" customFormat="false" ht="15" hidden="false" customHeight="false" outlineLevel="0" collapsed="false">
      <c r="D391" s="41"/>
    </row>
    <row r="392" customFormat="false" ht="15" hidden="false" customHeight="false" outlineLevel="0" collapsed="false">
      <c r="D392" s="41"/>
    </row>
    <row r="393" customFormat="false" ht="15" hidden="false" customHeight="false" outlineLevel="0" collapsed="false">
      <c r="D393" s="41"/>
    </row>
    <row r="394" customFormat="false" ht="15" hidden="false" customHeight="false" outlineLevel="0" collapsed="false">
      <c r="D394" s="41"/>
    </row>
    <row r="395" customFormat="false" ht="15" hidden="false" customHeight="false" outlineLevel="0" collapsed="false">
      <c r="D395" s="41"/>
    </row>
    <row r="396" customFormat="false" ht="15" hidden="false" customHeight="false" outlineLevel="0" collapsed="false">
      <c r="D396" s="41"/>
    </row>
    <row r="397" customFormat="false" ht="15" hidden="false" customHeight="false" outlineLevel="0" collapsed="false">
      <c r="D397" s="41"/>
    </row>
    <row r="398" customFormat="false" ht="15" hidden="false" customHeight="false" outlineLevel="0" collapsed="false">
      <c r="D398" s="41"/>
    </row>
    <row r="399" customFormat="false" ht="15" hidden="false" customHeight="false" outlineLevel="0" collapsed="false">
      <c r="D399" s="41"/>
    </row>
    <row r="400" customFormat="false" ht="15" hidden="false" customHeight="false" outlineLevel="0" collapsed="false">
      <c r="D400" s="41"/>
    </row>
    <row r="401" customFormat="false" ht="15" hidden="false" customHeight="false" outlineLevel="0" collapsed="false">
      <c r="D401" s="41"/>
    </row>
    <row r="402" customFormat="false" ht="15" hidden="false" customHeight="false" outlineLevel="0" collapsed="false">
      <c r="D402" s="41"/>
    </row>
    <row r="403" customFormat="false" ht="15" hidden="false" customHeight="false" outlineLevel="0" collapsed="false">
      <c r="D403" s="41"/>
    </row>
    <row r="404" customFormat="false" ht="15" hidden="false" customHeight="false" outlineLevel="0" collapsed="false">
      <c r="D404" s="41"/>
    </row>
    <row r="405" customFormat="false" ht="15" hidden="false" customHeight="false" outlineLevel="0" collapsed="false">
      <c r="D405" s="41"/>
    </row>
    <row r="406" customFormat="false" ht="15" hidden="false" customHeight="false" outlineLevel="0" collapsed="false">
      <c r="D406" s="41"/>
    </row>
    <row r="407" customFormat="false" ht="15" hidden="false" customHeight="false" outlineLevel="0" collapsed="false">
      <c r="D407" s="41"/>
    </row>
    <row r="408" customFormat="false" ht="15" hidden="false" customHeight="false" outlineLevel="0" collapsed="false">
      <c r="D408" s="41"/>
    </row>
    <row r="409" customFormat="false" ht="15" hidden="false" customHeight="false" outlineLevel="0" collapsed="false">
      <c r="D409" s="41"/>
    </row>
    <row r="410" customFormat="false" ht="15" hidden="false" customHeight="false" outlineLevel="0" collapsed="false">
      <c r="D410" s="41"/>
    </row>
    <row r="411" customFormat="false" ht="15" hidden="false" customHeight="false" outlineLevel="0" collapsed="false">
      <c r="D411" s="41"/>
    </row>
    <row r="412" customFormat="false" ht="15" hidden="false" customHeight="false" outlineLevel="0" collapsed="false">
      <c r="D412" s="41"/>
    </row>
    <row r="413" customFormat="false" ht="15" hidden="false" customHeight="false" outlineLevel="0" collapsed="false">
      <c r="D413" s="41"/>
    </row>
    <row r="414" customFormat="false" ht="15" hidden="false" customHeight="false" outlineLevel="0" collapsed="false">
      <c r="D414" s="41"/>
    </row>
    <row r="415" customFormat="false" ht="15" hidden="false" customHeight="false" outlineLevel="0" collapsed="false">
      <c r="D415" s="41"/>
    </row>
    <row r="416" customFormat="false" ht="15" hidden="false" customHeight="false" outlineLevel="0" collapsed="false">
      <c r="D416" s="41"/>
    </row>
    <row r="417" customFormat="false" ht="15" hidden="false" customHeight="false" outlineLevel="0" collapsed="false">
      <c r="D417" s="41"/>
    </row>
    <row r="418" customFormat="false" ht="15" hidden="false" customHeight="false" outlineLevel="0" collapsed="false">
      <c r="D418" s="41"/>
    </row>
    <row r="419" customFormat="false" ht="15" hidden="false" customHeight="false" outlineLevel="0" collapsed="false">
      <c r="D419" s="41"/>
    </row>
    <row r="420" customFormat="false" ht="15" hidden="false" customHeight="false" outlineLevel="0" collapsed="false">
      <c r="D420" s="41"/>
    </row>
    <row r="421" customFormat="false" ht="15" hidden="false" customHeight="false" outlineLevel="0" collapsed="false">
      <c r="D421" s="41"/>
    </row>
    <row r="422" customFormat="false" ht="15" hidden="false" customHeight="false" outlineLevel="0" collapsed="false">
      <c r="D422" s="41"/>
    </row>
    <row r="423" customFormat="false" ht="15" hidden="false" customHeight="false" outlineLevel="0" collapsed="false">
      <c r="D423" s="41"/>
    </row>
    <row r="424" customFormat="false" ht="15" hidden="false" customHeight="false" outlineLevel="0" collapsed="false">
      <c r="D424" s="41"/>
    </row>
    <row r="425" customFormat="false" ht="15" hidden="false" customHeight="false" outlineLevel="0" collapsed="false">
      <c r="D425" s="41"/>
    </row>
    <row r="426" customFormat="false" ht="15" hidden="false" customHeight="false" outlineLevel="0" collapsed="false">
      <c r="D426" s="41"/>
    </row>
    <row r="427" customFormat="false" ht="15" hidden="false" customHeight="false" outlineLevel="0" collapsed="false">
      <c r="D427" s="41"/>
    </row>
    <row r="428" customFormat="false" ht="15" hidden="false" customHeight="false" outlineLevel="0" collapsed="false">
      <c r="D428" s="41"/>
    </row>
    <row r="429" customFormat="false" ht="15" hidden="false" customHeight="false" outlineLevel="0" collapsed="false">
      <c r="D429" s="41"/>
    </row>
    <row r="430" customFormat="false" ht="15" hidden="false" customHeight="false" outlineLevel="0" collapsed="false">
      <c r="D430" s="41"/>
    </row>
    <row r="431" customFormat="false" ht="15" hidden="false" customHeight="false" outlineLevel="0" collapsed="false">
      <c r="D431" s="41"/>
    </row>
    <row r="432" customFormat="false" ht="15" hidden="false" customHeight="false" outlineLevel="0" collapsed="false">
      <c r="D432" s="41"/>
    </row>
    <row r="433" customFormat="false" ht="15" hidden="false" customHeight="false" outlineLevel="0" collapsed="false">
      <c r="D433" s="41"/>
    </row>
    <row r="434" customFormat="false" ht="15" hidden="false" customHeight="false" outlineLevel="0" collapsed="false">
      <c r="D434" s="41"/>
    </row>
    <row r="435" customFormat="false" ht="15" hidden="false" customHeight="false" outlineLevel="0" collapsed="false">
      <c r="D435" s="41"/>
    </row>
    <row r="436" customFormat="false" ht="15" hidden="false" customHeight="false" outlineLevel="0" collapsed="false">
      <c r="D436" s="41"/>
    </row>
    <row r="437" customFormat="false" ht="15" hidden="false" customHeight="false" outlineLevel="0" collapsed="false">
      <c r="D437" s="41"/>
    </row>
    <row r="438" customFormat="false" ht="15" hidden="false" customHeight="false" outlineLevel="0" collapsed="false">
      <c r="D438" s="41"/>
    </row>
    <row r="439" customFormat="false" ht="15" hidden="false" customHeight="false" outlineLevel="0" collapsed="false">
      <c r="D439" s="41"/>
    </row>
    <row r="440" customFormat="false" ht="15" hidden="false" customHeight="false" outlineLevel="0" collapsed="false">
      <c r="D440" s="41"/>
    </row>
    <row r="441" customFormat="false" ht="15" hidden="false" customHeight="false" outlineLevel="0" collapsed="false">
      <c r="D441" s="41"/>
    </row>
    <row r="442" customFormat="false" ht="15" hidden="false" customHeight="false" outlineLevel="0" collapsed="false">
      <c r="D442" s="41"/>
    </row>
    <row r="443" customFormat="false" ht="15" hidden="false" customHeight="false" outlineLevel="0" collapsed="false">
      <c r="D443" s="41"/>
    </row>
    <row r="444" customFormat="false" ht="15" hidden="false" customHeight="false" outlineLevel="0" collapsed="false">
      <c r="D444" s="41"/>
    </row>
    <row r="445" customFormat="false" ht="15" hidden="false" customHeight="false" outlineLevel="0" collapsed="false">
      <c r="D445" s="41"/>
    </row>
    <row r="446" customFormat="false" ht="15" hidden="false" customHeight="false" outlineLevel="0" collapsed="false">
      <c r="D446" s="41"/>
    </row>
    <row r="447" customFormat="false" ht="15" hidden="false" customHeight="false" outlineLevel="0" collapsed="false">
      <c r="D447" s="41"/>
    </row>
    <row r="448" customFormat="false" ht="15" hidden="false" customHeight="false" outlineLevel="0" collapsed="false">
      <c r="D448" s="41"/>
    </row>
    <row r="449" customFormat="false" ht="15" hidden="false" customHeight="false" outlineLevel="0" collapsed="false">
      <c r="D449" s="41"/>
    </row>
    <row r="450" customFormat="false" ht="15" hidden="false" customHeight="false" outlineLevel="0" collapsed="false">
      <c r="D450" s="41"/>
    </row>
    <row r="451" customFormat="false" ht="15" hidden="false" customHeight="false" outlineLevel="0" collapsed="false">
      <c r="D451" s="41"/>
    </row>
    <row r="452" customFormat="false" ht="15" hidden="false" customHeight="false" outlineLevel="0" collapsed="false">
      <c r="D452" s="41"/>
    </row>
    <row r="453" customFormat="false" ht="15" hidden="false" customHeight="false" outlineLevel="0" collapsed="false">
      <c r="D453" s="41"/>
    </row>
    <row r="454" customFormat="false" ht="15" hidden="false" customHeight="false" outlineLevel="0" collapsed="false">
      <c r="D454" s="41"/>
    </row>
    <row r="455" customFormat="false" ht="15" hidden="false" customHeight="false" outlineLevel="0" collapsed="false">
      <c r="D455" s="41"/>
    </row>
    <row r="456" customFormat="false" ht="15" hidden="false" customHeight="false" outlineLevel="0" collapsed="false">
      <c r="D456" s="41"/>
    </row>
    <row r="457" customFormat="false" ht="15" hidden="false" customHeight="false" outlineLevel="0" collapsed="false">
      <c r="D457" s="41"/>
    </row>
    <row r="458" customFormat="false" ht="15" hidden="false" customHeight="false" outlineLevel="0" collapsed="false">
      <c r="D458" s="41"/>
    </row>
    <row r="459" customFormat="false" ht="15" hidden="false" customHeight="false" outlineLevel="0" collapsed="false">
      <c r="D459" s="41"/>
    </row>
    <row r="460" customFormat="false" ht="15" hidden="false" customHeight="false" outlineLevel="0" collapsed="false">
      <c r="D460" s="41"/>
    </row>
    <row r="461" customFormat="false" ht="15" hidden="false" customHeight="false" outlineLevel="0" collapsed="false">
      <c r="D461" s="41"/>
    </row>
    <row r="462" customFormat="false" ht="15" hidden="false" customHeight="false" outlineLevel="0" collapsed="false">
      <c r="D462" s="41"/>
    </row>
    <row r="463" customFormat="false" ht="15" hidden="false" customHeight="false" outlineLevel="0" collapsed="false">
      <c r="D463" s="41"/>
    </row>
    <row r="464" customFormat="false" ht="15" hidden="false" customHeight="false" outlineLevel="0" collapsed="false">
      <c r="D464" s="41"/>
    </row>
    <row r="465" customFormat="false" ht="15" hidden="false" customHeight="false" outlineLevel="0" collapsed="false">
      <c r="D465" s="41"/>
    </row>
    <row r="466" customFormat="false" ht="15" hidden="false" customHeight="false" outlineLevel="0" collapsed="false">
      <c r="D466" s="41"/>
    </row>
    <row r="467" customFormat="false" ht="15" hidden="false" customHeight="false" outlineLevel="0" collapsed="false">
      <c r="D467" s="41"/>
    </row>
    <row r="468" customFormat="false" ht="15" hidden="false" customHeight="false" outlineLevel="0" collapsed="false">
      <c r="D468" s="41"/>
    </row>
    <row r="469" customFormat="false" ht="15" hidden="false" customHeight="false" outlineLevel="0" collapsed="false">
      <c r="D469" s="41"/>
    </row>
    <row r="470" customFormat="false" ht="15" hidden="false" customHeight="false" outlineLevel="0" collapsed="false">
      <c r="D470" s="41"/>
    </row>
    <row r="471" customFormat="false" ht="15" hidden="false" customHeight="false" outlineLevel="0" collapsed="false">
      <c r="D471" s="41"/>
    </row>
    <row r="472" customFormat="false" ht="15" hidden="false" customHeight="false" outlineLevel="0" collapsed="false">
      <c r="D472" s="41"/>
    </row>
    <row r="473" customFormat="false" ht="15" hidden="false" customHeight="false" outlineLevel="0" collapsed="false">
      <c r="D473" s="41"/>
    </row>
    <row r="474" customFormat="false" ht="15" hidden="false" customHeight="false" outlineLevel="0" collapsed="false">
      <c r="D474" s="41"/>
    </row>
    <row r="475" customFormat="false" ht="15" hidden="false" customHeight="false" outlineLevel="0" collapsed="false">
      <c r="D475" s="41"/>
    </row>
    <row r="476" customFormat="false" ht="15" hidden="false" customHeight="false" outlineLevel="0" collapsed="false">
      <c r="D476" s="41"/>
    </row>
    <row r="477" customFormat="false" ht="15" hidden="false" customHeight="false" outlineLevel="0" collapsed="false">
      <c r="D477" s="41"/>
    </row>
    <row r="478" customFormat="false" ht="15" hidden="false" customHeight="false" outlineLevel="0" collapsed="false">
      <c r="D478" s="41"/>
    </row>
    <row r="479" customFormat="false" ht="15" hidden="false" customHeight="false" outlineLevel="0" collapsed="false">
      <c r="D479" s="41"/>
    </row>
    <row r="480" customFormat="false" ht="15" hidden="false" customHeight="false" outlineLevel="0" collapsed="false">
      <c r="D480" s="41"/>
    </row>
    <row r="481" customFormat="false" ht="15" hidden="false" customHeight="false" outlineLevel="0" collapsed="false">
      <c r="D481" s="41"/>
    </row>
    <row r="482" customFormat="false" ht="15" hidden="false" customHeight="false" outlineLevel="0" collapsed="false">
      <c r="D482" s="41"/>
    </row>
    <row r="483" customFormat="false" ht="15" hidden="false" customHeight="false" outlineLevel="0" collapsed="false">
      <c r="D483" s="41"/>
    </row>
    <row r="484" customFormat="false" ht="15" hidden="false" customHeight="false" outlineLevel="0" collapsed="false">
      <c r="D484" s="41"/>
    </row>
    <row r="485" customFormat="false" ht="15" hidden="false" customHeight="false" outlineLevel="0" collapsed="false">
      <c r="D485" s="41"/>
    </row>
    <row r="486" customFormat="false" ht="15" hidden="false" customHeight="false" outlineLevel="0" collapsed="false">
      <c r="D486" s="41"/>
    </row>
    <row r="487" customFormat="false" ht="15" hidden="false" customHeight="false" outlineLevel="0" collapsed="false">
      <c r="D487" s="41"/>
    </row>
    <row r="488" customFormat="false" ht="15" hidden="false" customHeight="false" outlineLevel="0" collapsed="false">
      <c r="D488" s="41"/>
    </row>
    <row r="489" customFormat="false" ht="15" hidden="false" customHeight="false" outlineLevel="0" collapsed="false">
      <c r="D489" s="41"/>
    </row>
    <row r="490" customFormat="false" ht="15" hidden="false" customHeight="false" outlineLevel="0" collapsed="false">
      <c r="D490" s="41"/>
    </row>
    <row r="491" customFormat="false" ht="15" hidden="false" customHeight="false" outlineLevel="0" collapsed="false">
      <c r="D491" s="41"/>
    </row>
    <row r="492" customFormat="false" ht="15" hidden="false" customHeight="false" outlineLevel="0" collapsed="false">
      <c r="D492" s="41"/>
    </row>
    <row r="493" customFormat="false" ht="15" hidden="false" customHeight="false" outlineLevel="0" collapsed="false">
      <c r="D493" s="41"/>
    </row>
    <row r="494" customFormat="false" ht="15" hidden="false" customHeight="false" outlineLevel="0" collapsed="false">
      <c r="D494" s="41"/>
    </row>
    <row r="495" customFormat="false" ht="15" hidden="false" customHeight="false" outlineLevel="0" collapsed="false">
      <c r="D495" s="41"/>
    </row>
    <row r="496" customFormat="false" ht="15" hidden="false" customHeight="false" outlineLevel="0" collapsed="false">
      <c r="D496" s="41"/>
    </row>
    <row r="497" customFormat="false" ht="15" hidden="false" customHeight="false" outlineLevel="0" collapsed="false">
      <c r="D497" s="41"/>
    </row>
    <row r="498" customFormat="false" ht="15" hidden="false" customHeight="false" outlineLevel="0" collapsed="false">
      <c r="D498" s="41"/>
    </row>
    <row r="499" customFormat="false" ht="15" hidden="false" customHeight="false" outlineLevel="0" collapsed="false">
      <c r="D499" s="41"/>
    </row>
    <row r="500" customFormat="false" ht="15" hidden="false" customHeight="false" outlineLevel="0" collapsed="false">
      <c r="D500" s="41"/>
    </row>
  </sheetData>
  <autoFilter ref="A1:I200"/>
  <dataValidations count="1">
    <dataValidation allowBlank="true" error="Escolha um valor da lista." errorStyle="stop" errorTitle="Valor inválido" operator="equal" showDropDown="false" showErrorMessage="true" showInputMessage="false" sqref="D2:D500" type="list">
      <formula1>"Inspeção,Mudança Subativo,Ocorrência Aberta,Ocorrência Resolvida,Pneu Instalado,Pneu Condenado,Ativo Bloqueado,Ativo Liberado,Devolução Locador,Troca de Locador,Vencimento Documento"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1" activeCellId="0" sqref="A1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33.75" hidden="false" customHeight="true" outlineLevel="0" collapsed="false">
      <c r="A1" s="33" t="s">
        <v>286</v>
      </c>
      <c r="B1" s="33"/>
      <c r="C1" s="33"/>
    </row>
    <row r="2" customFormat="false" ht="9.75" hidden="false" customHeight="true" outlineLevel="0" collapsed="false"/>
    <row r="3" customFormat="false" ht="24" hidden="false" customHeight="true" outlineLevel="0" collapsed="false">
      <c r="A3" s="43" t="s">
        <v>287</v>
      </c>
      <c r="B3" s="43"/>
      <c r="C3" s="43"/>
    </row>
    <row r="4" customFormat="false" ht="19.5" hidden="false" customHeight="true" outlineLevel="0" collapsed="false">
      <c r="A4" s="44" t="s">
        <v>288</v>
      </c>
      <c r="B4" s="38" t="s">
        <v>289</v>
      </c>
      <c r="C4" s="24" t="s">
        <v>290</v>
      </c>
    </row>
    <row r="5" customFormat="false" ht="19.5" hidden="false" customHeight="true" outlineLevel="0" collapsed="false">
      <c r="A5" s="44" t="s">
        <v>291</v>
      </c>
      <c r="B5" s="38" t="s">
        <v>292</v>
      </c>
      <c r="C5" s="24" t="s">
        <v>293</v>
      </c>
    </row>
    <row r="6" customFormat="false" ht="19.5" hidden="false" customHeight="true" outlineLevel="0" collapsed="false">
      <c r="A6" s="44" t="s">
        <v>294</v>
      </c>
      <c r="B6" s="38" t="s">
        <v>295</v>
      </c>
      <c r="C6" s="24" t="s">
        <v>296</v>
      </c>
    </row>
    <row r="7" customFormat="false" ht="19.5" hidden="false" customHeight="true" outlineLevel="0" collapsed="false">
      <c r="A7" s="44" t="s">
        <v>297</v>
      </c>
      <c r="B7" s="38" t="s">
        <v>298</v>
      </c>
      <c r="C7" s="24" t="s">
        <v>299</v>
      </c>
    </row>
    <row r="8" customFormat="false" ht="13.8" hidden="false" customHeight="false" outlineLevel="0" collapsed="false"/>
    <row r="9" customFormat="false" ht="24" hidden="false" customHeight="true" outlineLevel="0" collapsed="false">
      <c r="A9" s="43" t="s">
        <v>300</v>
      </c>
      <c r="B9" s="43"/>
      <c r="C9" s="43"/>
    </row>
    <row r="10" customFormat="false" ht="19.5" hidden="false" customHeight="true" outlineLevel="0" collapsed="false">
      <c r="A10" s="44" t="s">
        <v>122</v>
      </c>
      <c r="B10" s="38" t="s">
        <v>289</v>
      </c>
      <c r="C10" s="24" t="s">
        <v>301</v>
      </c>
    </row>
    <row r="11" customFormat="false" ht="19.5" hidden="false" customHeight="true" outlineLevel="0" collapsed="false">
      <c r="A11" s="44" t="s">
        <v>129</v>
      </c>
      <c r="B11" s="38" t="s">
        <v>295</v>
      </c>
      <c r="C11" s="24" t="s">
        <v>302</v>
      </c>
    </row>
    <row r="12" customFormat="false" ht="19.5" hidden="false" customHeight="true" outlineLevel="0" collapsed="false">
      <c r="A12" s="44" t="s">
        <v>144</v>
      </c>
      <c r="B12" s="38" t="s">
        <v>298</v>
      </c>
      <c r="C12" s="24" t="s">
        <v>303</v>
      </c>
    </row>
    <row r="13" customFormat="false" ht="13.8" hidden="false" customHeight="false" outlineLevel="0" collapsed="false"/>
    <row r="14" customFormat="false" ht="24" hidden="false" customHeight="true" outlineLevel="0" collapsed="false">
      <c r="A14" s="43" t="s">
        <v>304</v>
      </c>
      <c r="B14" s="43"/>
      <c r="C14" s="43"/>
    </row>
    <row r="15" customFormat="false" ht="19.5" hidden="false" customHeight="true" outlineLevel="0" collapsed="false">
      <c r="A15" s="44" t="s">
        <v>161</v>
      </c>
      <c r="B15" s="38" t="s">
        <v>289</v>
      </c>
      <c r="C15" s="24" t="s">
        <v>305</v>
      </c>
    </row>
    <row r="16" customFormat="false" ht="19.5" hidden="false" customHeight="true" outlineLevel="0" collapsed="false">
      <c r="A16" s="44" t="s">
        <v>192</v>
      </c>
      <c r="B16" s="38" t="s">
        <v>292</v>
      </c>
      <c r="C16" s="24" t="s">
        <v>306</v>
      </c>
    </row>
    <row r="17" customFormat="false" ht="19.5" hidden="false" customHeight="true" outlineLevel="0" collapsed="false">
      <c r="A17" s="44" t="s">
        <v>183</v>
      </c>
      <c r="B17" s="38" t="s">
        <v>298</v>
      </c>
      <c r="C17" s="24" t="s">
        <v>307</v>
      </c>
    </row>
    <row r="18" customFormat="false" ht="13.8" hidden="false" customHeight="false" outlineLevel="0" collapsed="false"/>
    <row r="19" customFormat="false" ht="24" hidden="false" customHeight="true" outlineLevel="0" collapsed="false">
      <c r="A19" s="43" t="s">
        <v>308</v>
      </c>
      <c r="B19" s="43"/>
      <c r="C19" s="43"/>
    </row>
    <row r="20" customFormat="false" ht="19.5" hidden="false" customHeight="true" outlineLevel="0" collapsed="false">
      <c r="A20" s="44" t="s">
        <v>198</v>
      </c>
      <c r="B20" s="38" t="s">
        <v>298</v>
      </c>
      <c r="C20" s="24" t="s">
        <v>309</v>
      </c>
    </row>
    <row r="21" customFormat="false" ht="19.5" hidden="false" customHeight="true" outlineLevel="0" collapsed="false">
      <c r="A21" s="44" t="s">
        <v>205</v>
      </c>
      <c r="B21" s="38" t="s">
        <v>295</v>
      </c>
      <c r="C21" s="24" t="s">
        <v>310</v>
      </c>
    </row>
    <row r="22" customFormat="false" ht="19.5" hidden="false" customHeight="true" outlineLevel="0" collapsed="false">
      <c r="A22" s="44" t="s">
        <v>208</v>
      </c>
      <c r="B22" s="38" t="s">
        <v>289</v>
      </c>
      <c r="C22" s="24" t="s">
        <v>311</v>
      </c>
    </row>
    <row r="23" customFormat="false" ht="13.8" hidden="false" customHeight="false" outlineLevel="0" collapsed="false"/>
    <row r="24" customFormat="false" ht="24" hidden="false" customHeight="true" outlineLevel="0" collapsed="false">
      <c r="A24" s="43" t="s">
        <v>312</v>
      </c>
      <c r="B24" s="43"/>
      <c r="C24" s="43"/>
    </row>
    <row r="25" customFormat="false" ht="19.5" hidden="false" customHeight="true" outlineLevel="0" collapsed="false">
      <c r="A25" s="44" t="s">
        <v>124</v>
      </c>
      <c r="B25" s="38" t="s">
        <v>313</v>
      </c>
      <c r="C25" s="24" t="s">
        <v>314</v>
      </c>
    </row>
    <row r="26" customFormat="false" ht="19.5" hidden="false" customHeight="true" outlineLevel="0" collapsed="false">
      <c r="A26" s="44" t="s">
        <v>131</v>
      </c>
      <c r="B26" s="38" t="s">
        <v>315</v>
      </c>
      <c r="C26" s="24" t="s">
        <v>316</v>
      </c>
    </row>
    <row r="27" customFormat="false" ht="19.5" hidden="false" customHeight="true" outlineLevel="0" collapsed="false">
      <c r="A27" s="44" t="s">
        <v>140</v>
      </c>
      <c r="B27" s="38" t="s">
        <v>295</v>
      </c>
      <c r="C27" s="24" t="s">
        <v>317</v>
      </c>
    </row>
    <row r="28" customFormat="false" ht="19.5" hidden="false" customHeight="true" outlineLevel="0" collapsed="false">
      <c r="A28" s="44" t="s">
        <v>227</v>
      </c>
      <c r="B28" s="38" t="s">
        <v>298</v>
      </c>
      <c r="C28" s="24" t="s">
        <v>318</v>
      </c>
    </row>
    <row r="29" customFormat="false" ht="13.8" hidden="false" customHeight="false" outlineLevel="0" collapsed="false"/>
    <row r="30" customFormat="false" ht="24" hidden="false" customHeight="true" outlineLevel="0" collapsed="false">
      <c r="A30" s="45" t="s">
        <v>319</v>
      </c>
      <c r="B30" s="45"/>
      <c r="C30" s="45"/>
    </row>
    <row r="31" customFormat="false" ht="19.5" hidden="false" customHeight="true" outlineLevel="0" collapsed="false">
      <c r="A31" s="17" t="s">
        <v>320</v>
      </c>
      <c r="B31" s="17"/>
      <c r="C31" s="17"/>
    </row>
    <row r="32" customFormat="false" ht="19.5" hidden="false" customHeight="true" outlineLevel="0" collapsed="false">
      <c r="A32" s="17" t="s">
        <v>321</v>
      </c>
      <c r="B32" s="17"/>
      <c r="C32" s="17"/>
    </row>
    <row r="33" customFormat="false" ht="19.5" hidden="false" customHeight="true" outlineLevel="0" collapsed="false">
      <c r="A33" s="17" t="s">
        <v>322</v>
      </c>
      <c r="B33" s="17"/>
      <c r="C33" s="17"/>
    </row>
    <row r="34" customFormat="false" ht="19.5" hidden="false" customHeight="true" outlineLevel="0" collapsed="false">
      <c r="A34" s="17" t="s">
        <v>323</v>
      </c>
      <c r="B34" s="17"/>
      <c r="C34" s="17"/>
    </row>
    <row r="35" customFormat="false" ht="19.5" hidden="false" customHeight="true" outlineLevel="0" collapsed="false">
      <c r="A35" s="17" t="s">
        <v>324</v>
      </c>
      <c r="B35" s="17"/>
      <c r="C35" s="17"/>
    </row>
    <row r="36" customFormat="false" ht="19.5" hidden="false" customHeight="true" outlineLevel="0" collapsed="false">
      <c r="A36" s="17" t="s">
        <v>325</v>
      </c>
      <c r="B36" s="17"/>
      <c r="C36" s="17"/>
    </row>
  </sheetData>
  <mergeCells count="13">
    <mergeCell ref="A1:C1"/>
    <mergeCell ref="A3:C3"/>
    <mergeCell ref="A9:C9"/>
    <mergeCell ref="A14:C14"/>
    <mergeCell ref="A19:C19"/>
    <mergeCell ref="A24:C24"/>
    <mergeCell ref="A30:C30"/>
    <mergeCell ref="A31:C31"/>
    <mergeCell ref="A32:C32"/>
    <mergeCell ref="A33:C33"/>
    <mergeCell ref="A34:C34"/>
    <mergeCell ref="A35:C35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2026-09-28T18:22:59Z</dcterms:created>
  <dc:creator>openpyxl</dc:creator>
  <dc:description/>
  <dc:language>pt-BR</dc:language>
  <cp:lastModifiedBy/>
  <dcterms:modified xsi:type="dcterms:W3CDTF">2026-10-02T13:52:57Z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